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rgacevad\Folder\"/>
    </mc:Choice>
  </mc:AlternateContent>
  <xr:revisionPtr revIDLastSave="0" documentId="13_ncr:1_{C1A9BDFD-09A3-4835-8EAB-D4F63821DC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татистика" sheetId="1" r:id="rId1"/>
  </sheets>
  <calcPr calcId="181029"/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<sst xmlns="http://schemas.openxmlformats.org/spreadsheetml/2006/main" count="106" uniqueCount="94">
  <si>
    <t>Обновлено</t>
  </si>
  <si>
    <t>Дата</t>
  </si>
  <si>
    <t>Заказано, шт.</t>
  </si>
  <si>
    <t>Заказано, руб.</t>
  </si>
  <si>
    <t>Выкуплено, шт.</t>
  </si>
  <si>
    <t>Выкуплено, руб.</t>
  </si>
  <si>
    <t>Показов</t>
  </si>
  <si>
    <t>Переходов в карточки</t>
  </si>
  <si>
    <t>Добавлений в корзину</t>
  </si>
  <si>
    <t>Средняя конверсия в клик</t>
  </si>
  <si>
    <t>Средняя конверсия в корзину</t>
  </si>
  <si>
    <t>Средняя конверсия в заказ</t>
  </si>
  <si>
    <t>Средний процент выкупа</t>
  </si>
  <si>
    <t>Добавлений в Отложенные</t>
  </si>
  <si>
    <t>23.03.2026 07:42</t>
  </si>
  <si>
    <t>23.02.2026</t>
  </si>
  <si>
    <t>23.03.2026 07:45</t>
  </si>
  <si>
    <t>24.02.2026</t>
  </si>
  <si>
    <t>23.03.2026 07:47</t>
  </si>
  <si>
    <t>25.02.2026</t>
  </si>
  <si>
    <t>23.03.2026 07:49</t>
  </si>
  <si>
    <t>26.02.2026</t>
  </si>
  <si>
    <t>23.03.2026 07:51</t>
  </si>
  <si>
    <t>27.02.2026</t>
  </si>
  <si>
    <t>23.03.2026 07:53</t>
  </si>
  <si>
    <t>28.02.2026</t>
  </si>
  <si>
    <t>23.03.2026 09:12</t>
  </si>
  <si>
    <t>01.03.2026</t>
  </si>
  <si>
    <t>23.03.2026 09:15</t>
  </si>
  <si>
    <t>02.03.2026</t>
  </si>
  <si>
    <t>31.03.2026 14:35</t>
  </si>
  <si>
    <t>03.03.2026</t>
  </si>
  <si>
    <t>04.03.2026</t>
  </si>
  <si>
    <t>23.03.2026 09:20</t>
  </si>
  <si>
    <t>05.03.2026</t>
  </si>
  <si>
    <t>31.03.2026 14:36</t>
  </si>
  <si>
    <t>06.03.2026</t>
  </si>
  <si>
    <t>31.03.2026 14:37</t>
  </si>
  <si>
    <t>07.03.2026</t>
  </si>
  <si>
    <t>31.03.2026 14:38</t>
  </si>
  <si>
    <t>08.03.2026</t>
  </si>
  <si>
    <t>09.03.2026</t>
  </si>
  <si>
    <t>31.03.2026 14:39</t>
  </si>
  <si>
    <t>10.03.2026</t>
  </si>
  <si>
    <t>11.03.2026</t>
  </si>
  <si>
    <t>31.03.2026 14:40</t>
  </si>
  <si>
    <t>12.03.2026</t>
  </si>
  <si>
    <t>13.03.2026</t>
  </si>
  <si>
    <t>31.03.2026 14:41</t>
  </si>
  <si>
    <t>14.03.2026</t>
  </si>
  <si>
    <t>31.03.2026 14:42</t>
  </si>
  <si>
    <t>15.03.2026</t>
  </si>
  <si>
    <t>16.03.2026</t>
  </si>
  <si>
    <t>31.03.2026 08:59</t>
  </si>
  <si>
    <t>17.03.2026</t>
  </si>
  <si>
    <t>02.04.2026 10:53</t>
  </si>
  <si>
    <t>18.03.2026</t>
  </si>
  <si>
    <t>02.04.2026 10:54</t>
  </si>
  <si>
    <t>19.03.2026</t>
  </si>
  <si>
    <t>02.04.2026 10:55</t>
  </si>
  <si>
    <t>20.03.2026</t>
  </si>
  <si>
    <t>21.03.2026</t>
  </si>
  <si>
    <t>07.04.2026 09:40</t>
  </si>
  <si>
    <t>22.03.2026</t>
  </si>
  <si>
    <t>08.04.2026 11:25</t>
  </si>
  <si>
    <t>23.03.2026</t>
  </si>
  <si>
    <t>08.04.2026 07:23</t>
  </si>
  <si>
    <t>24.03.2026</t>
  </si>
  <si>
    <t>10.04.2026 06:54</t>
  </si>
  <si>
    <t>25.03.2026</t>
  </si>
  <si>
    <t>10.04.2026 06:55</t>
  </si>
  <si>
    <t>26.03.2026</t>
  </si>
  <si>
    <t>10.04.2026 06:56</t>
  </si>
  <si>
    <t>27.03.2026</t>
  </si>
  <si>
    <t>28.03.2026</t>
  </si>
  <si>
    <t>10.04.2026 06:57</t>
  </si>
  <si>
    <t>29.03.2026</t>
  </si>
  <si>
    <t>30.03.2026</t>
  </si>
  <si>
    <t>10.04.2026 06:58</t>
  </si>
  <si>
    <t>31.03.2026</t>
  </si>
  <si>
    <t>10.04.2026 06:59</t>
  </si>
  <si>
    <t>01.04.2026</t>
  </si>
  <si>
    <t>02.04.2026</t>
  </si>
  <si>
    <t>10.04.2026 07:00</t>
  </si>
  <si>
    <t>03.04.2026</t>
  </si>
  <si>
    <t>04.04.2026</t>
  </si>
  <si>
    <t>10.04.2026 07:01</t>
  </si>
  <si>
    <t>05.04.2026</t>
  </si>
  <si>
    <t>06.04.2026</t>
  </si>
  <si>
    <t>10.04.2026 07:02</t>
  </si>
  <si>
    <t>07.04.2026</t>
  </si>
  <si>
    <t>10.04.2026 07:03</t>
  </si>
  <si>
    <t>08.04.2026</t>
  </si>
  <si>
    <t>09.04.2026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</si>
</sst>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</cellXfs>
  <cellStyles count="1">
    <cellStyle name="Обычный" xfId="0" builtinId="0"/>
  </cellStyles>
  <dxfs count="6">
    <dxf>
      <fill>
        <patternFill>
          <bgColor rgb="FFFACCD1"/>
        </patternFill>
      </fill>
    </dxf>
    <dxf>
      <fill>
        <patternFill>
          <bgColor rgb="FFD1F5D8"/>
        </patternFill>
      </fill>
    </dxf>
    <dxf>
      <fill>
        <patternFill>
          <bgColor rgb="FFFACCD1"/>
        </patternFill>
      </fill>
    </dxf>
    <dxf>
      <fill>
        <patternFill>
          <bgColor rgb="FFD1F5D8"/>
        </patternFill>
      </fill>
    </dxf>
    <dxf>
      <fill>
        <patternFill>
          <bgColor rgb="FFFACCD1"/>
        </patternFill>
      </fill>
    </dxf>
    <dxf>
      <fill>
        <patternFill>
          <bgColor rgb="FFD1F5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selection activeCell="J19" sqref="J19"/>
    </sheetView>
  </sheetViews>
  <sheetFormatPr defaultRowHeight="15" x14ac:dyDescent="0.25"/>
  <cols>
    <col min="1" max="1" width="18.7109375" customWidth="1"/>
    <col min="2" max="2" width="12.7109375" customWidth="1"/>
    <col min="3" max="3" width="15.7109375" customWidth="1"/>
    <col min="4" max="5" width="16.7109375" customWidth="1"/>
    <col min="6" max="6" width="17.7109375" customWidth="1"/>
    <col min="7" max="7" width="9.7109375" customWidth="1"/>
    <col min="8" max="9" width="22.7109375" customWidth="1"/>
    <col min="10" max="10" width="26.7109375" customWidth="1"/>
    <col min="11" max="11" width="29.7109375" customWidth="1"/>
    <col min="12" max="12" width="27.7109375" customWidth="1"/>
    <col min="13" max="13" width="24.7109375" customWidth="1"/>
    <col min="14" max="14" width="25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>
        <v>326</v>
      </c>
      <c r="D2" s="4">
        <v>396591</v>
      </c>
      <c r="E2" s="3">
        <v>324</v>
      </c>
      <c r="F2" s="4">
        <v>394239</v>
      </c>
      <c r="G2" s="3">
        <v>302960</v>
      </c>
      <c r="H2" s="3">
        <v>19200</v>
      </c>
      <c r="I2" s="3">
        <v>1345</v>
      </c>
      <c r="J2" s="5">
        <f t="shared" ref="J2:J47" si="0">IFERROR(H2/G2,0)</f>
        <v>6.337470293108001E-2</v>
      </c>
      <c r="K2" s="5">
        <v>8.3714285714285713E-2</v>
      </c>
      <c r="L2" s="5">
        <v>0.37808219178082192</v>
      </c>
      <c r="M2" s="5">
        <v>0.96082191780821913</v>
      </c>
      <c r="N2" s="3">
        <v>457</v>
      </c>
    </row>
    <row r="3" spans="1:14" x14ac:dyDescent="0.25">
      <c r="A3" s="2" t="s">
        <v>16</v>
      </c>
      <c r="B3" s="2" t="s">
        <v>17</v>
      </c>
      <c r="C3" s="3">
        <v>367</v>
      </c>
      <c r="D3" s="4">
        <v>444303</v>
      </c>
      <c r="E3" s="3">
        <v>367</v>
      </c>
      <c r="F3" s="4">
        <v>444303</v>
      </c>
      <c r="G3" s="3">
        <v>326685</v>
      </c>
      <c r="H3" s="3">
        <v>19471</v>
      </c>
      <c r="I3" s="3">
        <v>1399</v>
      </c>
      <c r="J3" s="5">
        <f t="shared" si="0"/>
        <v>5.9601757044247514E-2</v>
      </c>
      <c r="K3" s="5">
        <v>8.8796296296296304E-2</v>
      </c>
      <c r="L3" s="5">
        <v>0.39960000000000001</v>
      </c>
      <c r="M3" s="5">
        <v>0.95971830985915485</v>
      </c>
      <c r="N3" s="3">
        <v>455</v>
      </c>
    </row>
    <row r="4" spans="1:14" x14ac:dyDescent="0.25">
      <c r="A4" s="2" t="s">
        <v>18</v>
      </c>
      <c r="B4" s="2" t="s">
        <v>19</v>
      </c>
      <c r="C4" s="3">
        <v>310</v>
      </c>
      <c r="D4" s="4">
        <v>376271</v>
      </c>
      <c r="E4" s="3">
        <v>309</v>
      </c>
      <c r="F4" s="4">
        <v>374981</v>
      </c>
      <c r="G4" s="3">
        <v>265545</v>
      </c>
      <c r="H4" s="3">
        <v>16506</v>
      </c>
      <c r="I4" s="3">
        <v>1263</v>
      </c>
      <c r="J4" s="5">
        <f t="shared" si="0"/>
        <v>6.2158956109134043E-2</v>
      </c>
      <c r="K4" s="5">
        <v>8.4673913043478266E-2</v>
      </c>
      <c r="L4" s="5">
        <v>0.39318840579710151</v>
      </c>
      <c r="M4" s="5">
        <v>0.95714285714285707</v>
      </c>
      <c r="N4" s="3">
        <v>403</v>
      </c>
    </row>
    <row r="5" spans="1:14" x14ac:dyDescent="0.25">
      <c r="A5" s="2" t="s">
        <v>20</v>
      </c>
      <c r="B5" s="2" t="s">
        <v>21</v>
      </c>
      <c r="C5" s="3">
        <v>309</v>
      </c>
      <c r="D5" s="4">
        <v>394711</v>
      </c>
      <c r="E5" s="3">
        <v>309</v>
      </c>
      <c r="F5" s="4">
        <v>394711</v>
      </c>
      <c r="G5" s="3">
        <v>222525</v>
      </c>
      <c r="H5" s="3">
        <v>16313</v>
      </c>
      <c r="I5" s="3">
        <v>1214</v>
      </c>
      <c r="J5" s="5">
        <f t="shared" si="0"/>
        <v>7.3308617009324797E-2</v>
      </c>
      <c r="K5" s="5">
        <v>9.7899999999999987E-2</v>
      </c>
      <c r="L5" s="5">
        <v>0.33291666666666658</v>
      </c>
      <c r="M5" s="5">
        <v>0.95945205479452056</v>
      </c>
      <c r="N5" s="3">
        <v>408</v>
      </c>
    </row>
    <row r="6" spans="1:14" x14ac:dyDescent="0.25">
      <c r="A6" s="2" t="s">
        <v>22</v>
      </c>
      <c r="B6" s="2" t="s">
        <v>23</v>
      </c>
      <c r="C6" s="3">
        <v>313</v>
      </c>
      <c r="D6" s="4">
        <v>401453</v>
      </c>
      <c r="E6" s="3">
        <v>312</v>
      </c>
      <c r="F6" s="4">
        <v>399825</v>
      </c>
      <c r="G6" s="3">
        <v>259389</v>
      </c>
      <c r="H6" s="3">
        <v>16109</v>
      </c>
      <c r="I6" s="3">
        <v>1208</v>
      </c>
      <c r="J6" s="5">
        <f t="shared" si="0"/>
        <v>6.210363585194438E-2</v>
      </c>
      <c r="K6" s="5">
        <v>7.9784946236559143E-2</v>
      </c>
      <c r="L6" s="5">
        <v>0.40647058823529408</v>
      </c>
      <c r="M6" s="5">
        <v>0.95714285714285707</v>
      </c>
      <c r="N6" s="3">
        <v>398</v>
      </c>
    </row>
    <row r="7" spans="1:14" x14ac:dyDescent="0.25">
      <c r="A7" s="2" t="s">
        <v>24</v>
      </c>
      <c r="B7" s="2" t="s">
        <v>25</v>
      </c>
      <c r="C7" s="3">
        <v>322</v>
      </c>
      <c r="D7" s="4">
        <v>420954</v>
      </c>
      <c r="E7" s="3">
        <v>321</v>
      </c>
      <c r="F7" s="4">
        <v>419594</v>
      </c>
      <c r="G7" s="3">
        <v>273232</v>
      </c>
      <c r="H7" s="3">
        <v>17369</v>
      </c>
      <c r="I7" s="3">
        <v>1284</v>
      </c>
      <c r="J7" s="5">
        <f t="shared" si="0"/>
        <v>6.3568688879779817E-2</v>
      </c>
      <c r="K7" s="5">
        <v>7.2842105263157902E-2</v>
      </c>
      <c r="L7" s="5">
        <v>0.39787878787878789</v>
      </c>
      <c r="M7" s="5">
        <v>0.95093749999999999</v>
      </c>
      <c r="N7" s="3">
        <v>366</v>
      </c>
    </row>
    <row r="8" spans="1:14" x14ac:dyDescent="0.25">
      <c r="A8" s="2" t="s">
        <v>26</v>
      </c>
      <c r="B8" s="2" t="s">
        <v>27</v>
      </c>
      <c r="C8" s="3">
        <v>371</v>
      </c>
      <c r="D8" s="4">
        <v>490574</v>
      </c>
      <c r="E8" s="3">
        <v>368</v>
      </c>
      <c r="F8" s="4">
        <v>486963</v>
      </c>
      <c r="G8" s="3">
        <v>245809</v>
      </c>
      <c r="H8" s="3">
        <v>17517</v>
      </c>
      <c r="I8" s="3">
        <v>1351</v>
      </c>
      <c r="J8" s="5">
        <f t="shared" si="0"/>
        <v>7.1262647014551955E-2</v>
      </c>
      <c r="K8" s="5">
        <v>7.7499999999999999E-2</v>
      </c>
      <c r="L8" s="5">
        <v>0.41865671641791052</v>
      </c>
      <c r="M8" s="5">
        <v>0.96514705882352947</v>
      </c>
      <c r="N8" s="3">
        <v>460</v>
      </c>
    </row>
    <row r="9" spans="1:14" x14ac:dyDescent="0.25">
      <c r="A9" s="2" t="s">
        <v>28</v>
      </c>
      <c r="B9" s="2" t="s">
        <v>29</v>
      </c>
      <c r="C9" s="3">
        <v>341</v>
      </c>
      <c r="D9" s="4">
        <v>426620</v>
      </c>
      <c r="E9" s="3">
        <v>340</v>
      </c>
      <c r="F9" s="4">
        <v>424806</v>
      </c>
      <c r="G9" s="3">
        <v>218082</v>
      </c>
      <c r="H9" s="3">
        <v>15540</v>
      </c>
      <c r="I9" s="3">
        <v>1103</v>
      </c>
      <c r="J9" s="5">
        <f t="shared" si="0"/>
        <v>7.125760035216111E-2</v>
      </c>
      <c r="K9" s="5">
        <v>7.5567010309278343E-2</v>
      </c>
      <c r="L9" s="5">
        <v>0.52319444444444441</v>
      </c>
      <c r="M9" s="5">
        <v>0.95514705882352946</v>
      </c>
      <c r="N9" s="3">
        <v>394</v>
      </c>
    </row>
    <row r="10" spans="1:14" x14ac:dyDescent="0.25">
      <c r="A10" s="2" t="s">
        <v>30</v>
      </c>
      <c r="B10" s="2" t="s">
        <v>31</v>
      </c>
      <c r="C10" s="3">
        <v>386</v>
      </c>
      <c r="D10" s="4">
        <v>500456</v>
      </c>
      <c r="E10" s="3">
        <v>386</v>
      </c>
      <c r="F10" s="4">
        <v>500456</v>
      </c>
      <c r="G10" s="3">
        <v>224837</v>
      </c>
      <c r="H10" s="3">
        <v>15990</v>
      </c>
      <c r="I10" s="3">
        <v>1200</v>
      </c>
      <c r="J10" s="5">
        <f t="shared" si="0"/>
        <v>7.1118187842748301E-2</v>
      </c>
      <c r="K10" s="5">
        <v>8.6249999999999993E-2</v>
      </c>
      <c r="L10" s="5">
        <v>0.41662337662337662</v>
      </c>
      <c r="M10" s="5">
        <v>0.97053333333333325</v>
      </c>
      <c r="N10" s="3">
        <v>328</v>
      </c>
    </row>
    <row r="11" spans="1:14" x14ac:dyDescent="0.25">
      <c r="A11" s="2" t="s">
        <v>30</v>
      </c>
      <c r="B11" s="2" t="s">
        <v>32</v>
      </c>
      <c r="C11" s="3">
        <v>323</v>
      </c>
      <c r="D11" s="4">
        <v>429877</v>
      </c>
      <c r="E11" s="3">
        <v>321</v>
      </c>
      <c r="F11" s="4">
        <v>427768</v>
      </c>
      <c r="G11" s="3">
        <v>212892</v>
      </c>
      <c r="H11" s="3">
        <v>15275</v>
      </c>
      <c r="I11" s="3">
        <v>1196</v>
      </c>
      <c r="J11" s="5">
        <f t="shared" si="0"/>
        <v>7.1749995302782629E-2</v>
      </c>
      <c r="K11" s="5">
        <v>0.1047422680412371</v>
      </c>
      <c r="L11" s="5">
        <v>0.36833333333333329</v>
      </c>
      <c r="M11" s="5">
        <v>0.94929577464788739</v>
      </c>
      <c r="N11" s="3">
        <v>351</v>
      </c>
    </row>
    <row r="12" spans="1:14" x14ac:dyDescent="0.25">
      <c r="A12" s="2" t="s">
        <v>33</v>
      </c>
      <c r="B12" s="2" t="s">
        <v>34</v>
      </c>
      <c r="C12" s="3">
        <v>353</v>
      </c>
      <c r="D12" s="4">
        <v>446401</v>
      </c>
      <c r="E12" s="3">
        <v>351</v>
      </c>
      <c r="F12" s="4">
        <v>442751</v>
      </c>
      <c r="G12" s="3">
        <v>200422</v>
      </c>
      <c r="H12" s="3">
        <v>14431</v>
      </c>
      <c r="I12" s="3">
        <v>1106</v>
      </c>
      <c r="J12" s="5">
        <f t="shared" si="0"/>
        <v>7.2003073514883595E-2</v>
      </c>
      <c r="K12" s="5">
        <v>8.3861386138613853E-2</v>
      </c>
      <c r="L12" s="5">
        <v>0.48458333333333342</v>
      </c>
      <c r="M12" s="5">
        <v>0.95</v>
      </c>
      <c r="N12" s="3">
        <v>354</v>
      </c>
    </row>
    <row r="13" spans="1:14" x14ac:dyDescent="0.25">
      <c r="A13" s="2" t="s">
        <v>35</v>
      </c>
      <c r="B13" s="2" t="s">
        <v>36</v>
      </c>
      <c r="C13" s="3">
        <v>314</v>
      </c>
      <c r="D13" s="4">
        <v>428485</v>
      </c>
      <c r="E13" s="3">
        <v>314</v>
      </c>
      <c r="F13" s="4">
        <v>428485</v>
      </c>
      <c r="G13" s="3">
        <v>192265</v>
      </c>
      <c r="H13" s="3">
        <v>13970</v>
      </c>
      <c r="I13" s="3">
        <v>1062</v>
      </c>
      <c r="J13" s="5">
        <f t="shared" si="0"/>
        <v>7.2660130548981877E-2</v>
      </c>
      <c r="K13" s="5">
        <v>0.10199999999999999</v>
      </c>
      <c r="L13" s="5">
        <v>0.42044117647058832</v>
      </c>
      <c r="M13" s="5">
        <v>0.95833333333333326</v>
      </c>
      <c r="N13" s="3">
        <v>341</v>
      </c>
    </row>
    <row r="14" spans="1:14" x14ac:dyDescent="0.25">
      <c r="A14" s="2" t="s">
        <v>37</v>
      </c>
      <c r="B14" s="2" t="s">
        <v>38</v>
      </c>
      <c r="C14" s="3">
        <v>271</v>
      </c>
      <c r="D14" s="4">
        <v>365763</v>
      </c>
      <c r="E14" s="3">
        <v>270</v>
      </c>
      <c r="F14" s="4">
        <v>364371</v>
      </c>
      <c r="G14" s="3">
        <v>272627</v>
      </c>
      <c r="H14" s="3">
        <v>16303</v>
      </c>
      <c r="I14" s="3">
        <v>1100</v>
      </c>
      <c r="J14" s="5">
        <f t="shared" si="0"/>
        <v>5.9799653005755113E-2</v>
      </c>
      <c r="K14" s="5">
        <v>7.9900990099009903E-2</v>
      </c>
      <c r="L14" s="5">
        <v>0.40411764705882353</v>
      </c>
      <c r="M14" s="5">
        <v>0.94507462686567167</v>
      </c>
      <c r="N14" s="3">
        <v>424</v>
      </c>
    </row>
    <row r="15" spans="1:14" x14ac:dyDescent="0.25">
      <c r="A15" s="2" t="s">
        <v>39</v>
      </c>
      <c r="B15" s="2" t="s">
        <v>40</v>
      </c>
      <c r="C15" s="3">
        <v>232</v>
      </c>
      <c r="D15" s="4">
        <v>313008</v>
      </c>
      <c r="E15" s="3">
        <v>229</v>
      </c>
      <c r="F15" s="4">
        <v>308896</v>
      </c>
      <c r="G15" s="3">
        <v>220115</v>
      </c>
      <c r="H15" s="3">
        <v>13611</v>
      </c>
      <c r="I15" s="3">
        <v>981</v>
      </c>
      <c r="J15" s="5">
        <f t="shared" si="0"/>
        <v>6.1835858528496469E-2</v>
      </c>
      <c r="K15" s="5">
        <v>8.3535353535353532E-2</v>
      </c>
      <c r="L15" s="5">
        <v>0.40742424242424241</v>
      </c>
      <c r="M15" s="5">
        <v>0.97292307692307689</v>
      </c>
      <c r="N15" s="3">
        <v>309</v>
      </c>
    </row>
    <row r="16" spans="1:14" x14ac:dyDescent="0.25">
      <c r="A16" s="2" t="s">
        <v>39</v>
      </c>
      <c r="B16" s="2" t="s">
        <v>41</v>
      </c>
      <c r="C16" s="3">
        <v>261</v>
      </c>
      <c r="D16" s="4">
        <v>336826</v>
      </c>
      <c r="E16" s="3">
        <v>259</v>
      </c>
      <c r="F16" s="4">
        <v>333593</v>
      </c>
      <c r="G16" s="3">
        <v>239321</v>
      </c>
      <c r="H16" s="3">
        <v>15623</v>
      </c>
      <c r="I16" s="3">
        <v>1072</v>
      </c>
      <c r="J16" s="5">
        <f t="shared" si="0"/>
        <v>6.5280522812456915E-2</v>
      </c>
      <c r="K16" s="5">
        <v>7.6489361702127653E-2</v>
      </c>
      <c r="L16" s="5">
        <v>0.38628571428571429</v>
      </c>
      <c r="M16" s="5">
        <v>0.96785714285714297</v>
      </c>
      <c r="N16" s="3">
        <v>387</v>
      </c>
    </row>
    <row r="17" spans="1:14" x14ac:dyDescent="0.25">
      <c r="A17" s="2" t="s">
        <v>42</v>
      </c>
      <c r="B17" s="2" t="s">
        <v>43</v>
      </c>
      <c r="C17" s="3">
        <v>243</v>
      </c>
      <c r="D17" s="4">
        <v>317649</v>
      </c>
      <c r="E17" s="3">
        <v>241</v>
      </c>
      <c r="F17" s="4">
        <v>315364</v>
      </c>
      <c r="G17" s="3">
        <v>165823</v>
      </c>
      <c r="H17" s="3">
        <v>12385</v>
      </c>
      <c r="I17" s="3">
        <v>963</v>
      </c>
      <c r="J17" s="5">
        <f t="shared" si="0"/>
        <v>7.4688071015480362E-2</v>
      </c>
      <c r="K17" s="5">
        <v>8.8585858585858587E-2</v>
      </c>
      <c r="L17" s="5">
        <v>0.49304347826086953</v>
      </c>
      <c r="M17" s="5">
        <v>0.94449275362318841</v>
      </c>
      <c r="N17" s="3">
        <v>347</v>
      </c>
    </row>
    <row r="18" spans="1:14" x14ac:dyDescent="0.25">
      <c r="A18" s="2" t="s">
        <v>42</v>
      </c>
      <c r="B18" s="2" t="s">
        <v>44</v>
      </c>
      <c r="C18" s="3">
        <v>176</v>
      </c>
      <c r="D18" s="4">
        <v>225292</v>
      </c>
      <c r="E18" s="3">
        <v>172</v>
      </c>
      <c r="F18" s="4">
        <v>221194</v>
      </c>
      <c r="G18" s="3">
        <v>173565</v>
      </c>
      <c r="H18" s="3">
        <v>11624</v>
      </c>
      <c r="I18" s="3">
        <v>921</v>
      </c>
      <c r="J18" s="5">
        <f t="shared" si="0"/>
        <v>6.697202777057587E-2</v>
      </c>
      <c r="K18" s="5">
        <v>0.108804347826087</v>
      </c>
      <c r="L18" s="5">
        <v>0.37305084745762712</v>
      </c>
      <c r="M18" s="5">
        <v>0.96245614035087723</v>
      </c>
      <c r="N18" s="3">
        <v>338</v>
      </c>
    </row>
    <row r="19" spans="1:14" x14ac:dyDescent="0.25">
      <c r="A19" s="2" t="s">
        <v>45</v>
      </c>
      <c r="B19" s="2" t="s">
        <v>46</v>
      </c>
      <c r="C19" s="3">
        <v>203</v>
      </c>
      <c r="D19" s="4">
        <v>275339</v>
      </c>
      <c r="E19" s="3">
        <v>201</v>
      </c>
      <c r="F19" s="4">
        <v>273097</v>
      </c>
      <c r="G19" s="3">
        <v>164251</v>
      </c>
      <c r="H19" s="3">
        <v>11117</v>
      </c>
      <c r="I19" s="3">
        <v>793</v>
      </c>
      <c r="J19" s="5">
        <f t="shared" si="0"/>
        <v>6.7682997363790784E-2</v>
      </c>
      <c r="K19" s="5">
        <v>7.7826086956521739E-2</v>
      </c>
      <c r="L19" s="5">
        <v>0.4380701754385965</v>
      </c>
      <c r="M19" s="5">
        <v>0.92500000000000004</v>
      </c>
      <c r="N19" s="3">
        <v>292</v>
      </c>
    </row>
    <row r="20" spans="1:14" x14ac:dyDescent="0.25">
      <c r="A20" s="2" t="s">
        <v>45</v>
      </c>
      <c r="B20" s="2" t="s">
        <v>47</v>
      </c>
      <c r="C20" s="3">
        <v>229</v>
      </c>
      <c r="D20" s="4">
        <v>296651</v>
      </c>
      <c r="E20" s="3">
        <v>222</v>
      </c>
      <c r="F20" s="4">
        <v>286784</v>
      </c>
      <c r="G20" s="3">
        <v>182081</v>
      </c>
      <c r="H20" s="3">
        <v>12785</v>
      </c>
      <c r="I20" s="3">
        <v>975</v>
      </c>
      <c r="J20" s="5">
        <f t="shared" si="0"/>
        <v>7.0216002767998859E-2</v>
      </c>
      <c r="K20" s="5">
        <v>9.1489361702127653E-2</v>
      </c>
      <c r="L20" s="5">
        <v>0.36016393442622952</v>
      </c>
      <c r="M20" s="5">
        <v>0.93796610169491534</v>
      </c>
      <c r="N20" s="3">
        <v>390</v>
      </c>
    </row>
    <row r="21" spans="1:14" x14ac:dyDescent="0.25">
      <c r="A21" s="2" t="s">
        <v>48</v>
      </c>
      <c r="B21" s="2" t="s">
        <v>49</v>
      </c>
      <c r="C21" s="3">
        <v>222</v>
      </c>
      <c r="D21" s="4">
        <v>302147</v>
      </c>
      <c r="E21" s="3">
        <v>213</v>
      </c>
      <c r="F21" s="4">
        <v>287954</v>
      </c>
      <c r="G21" s="3">
        <v>312695</v>
      </c>
      <c r="H21" s="3">
        <v>16261</v>
      </c>
      <c r="I21" s="3">
        <v>1102</v>
      </c>
      <c r="J21" s="5">
        <f t="shared" si="0"/>
        <v>5.2002750283822896E-2</v>
      </c>
      <c r="K21" s="5">
        <v>0.104020618556701</v>
      </c>
      <c r="L21" s="5">
        <v>0.41714285714285709</v>
      </c>
      <c r="M21" s="5">
        <v>0.95352112676056333</v>
      </c>
      <c r="N21" s="3">
        <v>436</v>
      </c>
    </row>
    <row r="22" spans="1:14" x14ac:dyDescent="0.25">
      <c r="A22" s="2" t="s">
        <v>50</v>
      </c>
      <c r="B22" s="2" t="s">
        <v>51</v>
      </c>
      <c r="C22" s="3">
        <v>222</v>
      </c>
      <c r="D22" s="4">
        <v>285452</v>
      </c>
      <c r="E22" s="3">
        <v>216</v>
      </c>
      <c r="F22" s="4">
        <v>275815</v>
      </c>
      <c r="G22" s="3">
        <v>245765</v>
      </c>
      <c r="H22" s="3">
        <v>13922</v>
      </c>
      <c r="I22" s="3">
        <v>1070</v>
      </c>
      <c r="J22" s="5">
        <f t="shared" si="0"/>
        <v>5.6647610522246865E-2</v>
      </c>
      <c r="K22" s="5">
        <v>9.43157894736842E-2</v>
      </c>
      <c r="L22" s="5">
        <v>0.36507936507936511</v>
      </c>
      <c r="M22" s="5">
        <v>0.93333333333333324</v>
      </c>
      <c r="N22" s="3">
        <v>316</v>
      </c>
    </row>
    <row r="23" spans="1:14" x14ac:dyDescent="0.25">
      <c r="A23" s="2" t="s">
        <v>50</v>
      </c>
      <c r="B23" s="2" t="s">
        <v>52</v>
      </c>
      <c r="C23" s="3">
        <v>214</v>
      </c>
      <c r="D23" s="4">
        <v>276510</v>
      </c>
      <c r="E23" s="3">
        <v>202</v>
      </c>
      <c r="F23" s="4">
        <v>260239</v>
      </c>
      <c r="G23" s="3">
        <v>224933</v>
      </c>
      <c r="H23" s="3">
        <v>12906</v>
      </c>
      <c r="I23" s="3">
        <v>924</v>
      </c>
      <c r="J23" s="5">
        <f t="shared" si="0"/>
        <v>5.73770856210516E-2</v>
      </c>
      <c r="K23" s="5">
        <v>0.1007142857142857</v>
      </c>
      <c r="L23" s="5">
        <v>0.39465517241379311</v>
      </c>
      <c r="M23" s="5">
        <v>0.96309090909090911</v>
      </c>
      <c r="N23" s="3">
        <v>361</v>
      </c>
    </row>
    <row r="24" spans="1:14" x14ac:dyDescent="0.25">
      <c r="A24" s="2" t="s">
        <v>53</v>
      </c>
      <c r="B24" s="2" t="s">
        <v>54</v>
      </c>
      <c r="C24" s="3">
        <v>206</v>
      </c>
      <c r="D24" s="4">
        <v>268105</v>
      </c>
      <c r="E24" s="3">
        <v>188</v>
      </c>
      <c r="F24" s="4">
        <v>245592</v>
      </c>
      <c r="G24" s="3">
        <v>216194</v>
      </c>
      <c r="H24" s="3">
        <v>11574</v>
      </c>
      <c r="I24" s="3">
        <v>848</v>
      </c>
      <c r="J24" s="5">
        <f t="shared" si="0"/>
        <v>5.3535250747014256E-2</v>
      </c>
      <c r="K24" s="5">
        <v>8.4565217391304348E-2</v>
      </c>
      <c r="L24" s="5">
        <v>0.45374999999999999</v>
      </c>
      <c r="M24" s="5">
        <v>0.96392857142857136</v>
      </c>
      <c r="N24" s="3">
        <v>296</v>
      </c>
    </row>
    <row r="25" spans="1:14" x14ac:dyDescent="0.25">
      <c r="A25" s="2" t="s">
        <v>55</v>
      </c>
      <c r="B25" s="2" t="s">
        <v>56</v>
      </c>
      <c r="C25" s="3">
        <v>190</v>
      </c>
      <c r="D25" s="4">
        <v>244036</v>
      </c>
      <c r="E25" s="3">
        <v>177</v>
      </c>
      <c r="F25" s="4">
        <v>228774</v>
      </c>
      <c r="G25" s="3">
        <v>145959</v>
      </c>
      <c r="H25" s="3">
        <v>10270</v>
      </c>
      <c r="I25" s="3">
        <v>851</v>
      </c>
      <c r="J25" s="5">
        <f t="shared" si="0"/>
        <v>7.0362225008392773E-2</v>
      </c>
      <c r="K25" s="5">
        <v>0.11402061855670099</v>
      </c>
      <c r="L25" s="5">
        <v>0.41317460317460308</v>
      </c>
      <c r="M25" s="5">
        <v>0.95517241379310347</v>
      </c>
      <c r="N25" s="3">
        <v>268</v>
      </c>
    </row>
    <row r="26" spans="1:14" x14ac:dyDescent="0.25">
      <c r="A26" s="2" t="s">
        <v>57</v>
      </c>
      <c r="B26" s="2" t="s">
        <v>58</v>
      </c>
      <c r="C26" s="3">
        <v>193</v>
      </c>
      <c r="D26" s="4">
        <v>236892</v>
      </c>
      <c r="E26" s="3">
        <v>181</v>
      </c>
      <c r="F26" s="4">
        <v>217864</v>
      </c>
      <c r="G26" s="3">
        <v>120611</v>
      </c>
      <c r="H26" s="3">
        <v>9584</v>
      </c>
      <c r="I26" s="3">
        <v>780</v>
      </c>
      <c r="J26" s="5">
        <f t="shared" si="0"/>
        <v>7.9462072281964335E-2</v>
      </c>
      <c r="K26" s="5">
        <v>9.4408602150537646E-2</v>
      </c>
      <c r="L26" s="5">
        <v>0.42449999999999999</v>
      </c>
      <c r="M26" s="5">
        <v>0.98421052631578942</v>
      </c>
      <c r="N26" s="3">
        <v>271</v>
      </c>
    </row>
    <row r="27" spans="1:14" x14ac:dyDescent="0.25">
      <c r="A27" s="2" t="s">
        <v>59</v>
      </c>
      <c r="B27" s="2" t="s">
        <v>60</v>
      </c>
      <c r="C27" s="3">
        <v>156</v>
      </c>
      <c r="D27" s="4">
        <v>201511</v>
      </c>
      <c r="E27" s="3">
        <v>140</v>
      </c>
      <c r="F27" s="4">
        <v>179934</v>
      </c>
      <c r="G27" s="3">
        <v>120093</v>
      </c>
      <c r="H27" s="3">
        <v>9272</v>
      </c>
      <c r="I27" s="3">
        <v>713</v>
      </c>
      <c r="J27" s="5">
        <f t="shared" si="0"/>
        <v>7.7206831372353096E-2</v>
      </c>
      <c r="K27" s="5">
        <v>0.105</v>
      </c>
      <c r="L27" s="5">
        <v>0.41068965517241379</v>
      </c>
      <c r="M27" s="5">
        <v>0.95018518518518524</v>
      </c>
      <c r="N27" s="3">
        <v>269</v>
      </c>
    </row>
    <row r="28" spans="1:14" x14ac:dyDescent="0.25">
      <c r="A28" s="2" t="s">
        <v>59</v>
      </c>
      <c r="B28" s="2" t="s">
        <v>61</v>
      </c>
      <c r="C28" s="3">
        <v>193</v>
      </c>
      <c r="D28" s="4">
        <v>243859</v>
      </c>
      <c r="E28" s="3">
        <v>183</v>
      </c>
      <c r="F28" s="4">
        <v>231958</v>
      </c>
      <c r="G28" s="3">
        <v>104174</v>
      </c>
      <c r="H28" s="3">
        <v>8704</v>
      </c>
      <c r="I28" s="3">
        <v>705</v>
      </c>
      <c r="J28" s="5">
        <f t="shared" si="0"/>
        <v>8.3552517902739654E-2</v>
      </c>
      <c r="K28" s="5">
        <v>9.9268292682926834E-2</v>
      </c>
      <c r="L28" s="5">
        <v>0.38775862068965522</v>
      </c>
      <c r="M28" s="5">
        <v>0.97033898305084743</v>
      </c>
      <c r="N28" s="3">
        <v>192</v>
      </c>
    </row>
    <row r="29" spans="1:14" x14ac:dyDescent="0.25">
      <c r="A29" s="2" t="s">
        <v>62</v>
      </c>
      <c r="B29" s="2" t="s">
        <v>63</v>
      </c>
      <c r="C29" s="3">
        <v>197</v>
      </c>
      <c r="D29" s="4">
        <v>263638</v>
      </c>
      <c r="E29" s="3">
        <v>189</v>
      </c>
      <c r="F29" s="4">
        <v>253234</v>
      </c>
      <c r="G29" s="3">
        <v>124744</v>
      </c>
      <c r="H29" s="3">
        <v>10138</v>
      </c>
      <c r="I29" s="3">
        <v>784</v>
      </c>
      <c r="J29" s="5">
        <f t="shared" si="0"/>
        <v>8.1270441864939397E-2</v>
      </c>
      <c r="K29" s="5">
        <v>0.1098958333333333</v>
      </c>
      <c r="L29" s="5">
        <v>0.4292537313432836</v>
      </c>
      <c r="M29" s="5">
        <v>0.96196969696969703</v>
      </c>
      <c r="N29" s="3">
        <v>241</v>
      </c>
    </row>
    <row r="30" spans="1:14" x14ac:dyDescent="0.25">
      <c r="A30" s="2" t="s">
        <v>64</v>
      </c>
      <c r="B30" s="2" t="s">
        <v>65</v>
      </c>
      <c r="C30" s="3">
        <v>160</v>
      </c>
      <c r="D30" s="4">
        <v>202823</v>
      </c>
      <c r="E30" s="3">
        <v>159</v>
      </c>
      <c r="F30" s="4">
        <v>201923</v>
      </c>
      <c r="G30" s="3">
        <v>116090</v>
      </c>
      <c r="H30" s="3">
        <v>8909</v>
      </c>
      <c r="I30" s="3">
        <v>689</v>
      </c>
      <c r="J30" s="5">
        <f t="shared" si="0"/>
        <v>7.6742182789215269E-2</v>
      </c>
      <c r="K30" s="5">
        <v>9.9666666666666667E-2</v>
      </c>
      <c r="L30" s="5">
        <v>0.39584905660377362</v>
      </c>
      <c r="M30" s="5">
        <v>0.9812727272727273</v>
      </c>
      <c r="N30" s="3">
        <v>269</v>
      </c>
    </row>
    <row r="31" spans="1:14" x14ac:dyDescent="0.25">
      <c r="A31" s="2" t="s">
        <v>66</v>
      </c>
      <c r="B31" s="2" t="s">
        <v>67</v>
      </c>
      <c r="C31" s="3">
        <v>194</v>
      </c>
      <c r="D31" s="4">
        <v>246041</v>
      </c>
      <c r="E31" s="3">
        <v>183</v>
      </c>
      <c r="F31" s="4">
        <v>232074</v>
      </c>
      <c r="G31" s="3">
        <v>178027</v>
      </c>
      <c r="H31" s="3">
        <v>10262</v>
      </c>
      <c r="I31" s="3">
        <v>800</v>
      </c>
      <c r="J31" s="5">
        <f t="shared" si="0"/>
        <v>5.7642941800962778E-2</v>
      </c>
      <c r="K31" s="5">
        <v>9.3092783505154653E-2</v>
      </c>
      <c r="L31" s="5">
        <v>0.43463768115942031</v>
      </c>
      <c r="M31" s="5">
        <v>0.95388059701492534</v>
      </c>
      <c r="N31" s="3">
        <v>276</v>
      </c>
    </row>
    <row r="32" spans="1:14" x14ac:dyDescent="0.25">
      <c r="A32" s="2" t="s">
        <v>68</v>
      </c>
      <c r="B32" s="2" t="s">
        <v>69</v>
      </c>
      <c r="C32" s="3">
        <v>191</v>
      </c>
      <c r="D32" s="4">
        <v>231373</v>
      </c>
      <c r="E32" s="3">
        <v>179</v>
      </c>
      <c r="F32" s="4">
        <v>216974</v>
      </c>
      <c r="G32" s="3">
        <v>133695</v>
      </c>
      <c r="H32" s="3">
        <v>9535</v>
      </c>
      <c r="I32" s="3">
        <v>804</v>
      </c>
      <c r="J32" s="5">
        <f t="shared" si="0"/>
        <v>7.1319047084782525E-2</v>
      </c>
      <c r="K32" s="5">
        <v>9.4680851063829785E-2</v>
      </c>
      <c r="L32" s="5">
        <v>0.46857142857142853</v>
      </c>
      <c r="M32" s="5">
        <v>0.94920634920634928</v>
      </c>
      <c r="N32" s="3">
        <v>264</v>
      </c>
    </row>
    <row r="33" spans="1:14" x14ac:dyDescent="0.25">
      <c r="A33" s="2" t="s">
        <v>70</v>
      </c>
      <c r="B33" s="2" t="s">
        <v>71</v>
      </c>
      <c r="C33" s="3">
        <v>230</v>
      </c>
      <c r="D33" s="4">
        <v>298962</v>
      </c>
      <c r="E33" s="3">
        <v>214</v>
      </c>
      <c r="F33" s="4">
        <v>278501</v>
      </c>
      <c r="G33" s="3">
        <v>109417</v>
      </c>
      <c r="H33" s="3">
        <v>9637</v>
      </c>
      <c r="I33" s="3">
        <v>799</v>
      </c>
      <c r="J33" s="5">
        <f t="shared" si="0"/>
        <v>8.8075893142747469E-2</v>
      </c>
      <c r="K33" s="5">
        <v>9.5416666666666664E-2</v>
      </c>
      <c r="L33" s="5">
        <v>0.45720588235294118</v>
      </c>
      <c r="M33" s="5">
        <v>0.95940298507462685</v>
      </c>
      <c r="N33" s="3">
        <v>284</v>
      </c>
    </row>
    <row r="34" spans="1:14" x14ac:dyDescent="0.25">
      <c r="A34" s="2" t="s">
        <v>72</v>
      </c>
      <c r="B34" s="2" t="s">
        <v>73</v>
      </c>
      <c r="C34" s="3">
        <v>199</v>
      </c>
      <c r="D34" s="4">
        <v>237303</v>
      </c>
      <c r="E34" s="3">
        <v>183</v>
      </c>
      <c r="F34" s="4">
        <v>220260</v>
      </c>
      <c r="G34" s="3">
        <v>118194</v>
      </c>
      <c r="H34" s="3">
        <v>9686</v>
      </c>
      <c r="I34" s="3">
        <v>834</v>
      </c>
      <c r="J34" s="5">
        <f t="shared" si="0"/>
        <v>8.1950014383132819E-2</v>
      </c>
      <c r="K34" s="5">
        <v>8.4021739130434786E-2</v>
      </c>
      <c r="L34" s="5">
        <v>0.42114754098360663</v>
      </c>
      <c r="M34" s="5">
        <v>0.96750000000000003</v>
      </c>
      <c r="N34" s="3">
        <v>212</v>
      </c>
    </row>
    <row r="35" spans="1:14" x14ac:dyDescent="0.25">
      <c r="A35" s="2" t="s">
        <v>72</v>
      </c>
      <c r="B35" s="2" t="s">
        <v>74</v>
      </c>
      <c r="C35" s="3">
        <v>202</v>
      </c>
      <c r="D35" s="4">
        <v>246841</v>
      </c>
      <c r="E35" s="3">
        <v>183</v>
      </c>
      <c r="F35" s="4">
        <v>221735</v>
      </c>
      <c r="G35" s="3">
        <v>125869</v>
      </c>
      <c r="H35" s="3">
        <v>9777</v>
      </c>
      <c r="I35" s="3">
        <v>825</v>
      </c>
      <c r="J35" s="5">
        <f t="shared" si="0"/>
        <v>7.7675996472523018E-2</v>
      </c>
      <c r="K35" s="5">
        <v>9.1145833333333343E-2</v>
      </c>
      <c r="L35" s="5">
        <v>0.40693548387096778</v>
      </c>
      <c r="M35" s="5">
        <v>0.96830508474576282</v>
      </c>
      <c r="N35" s="3">
        <v>262</v>
      </c>
    </row>
    <row r="36" spans="1:14" x14ac:dyDescent="0.25">
      <c r="A36" s="2" t="s">
        <v>75</v>
      </c>
      <c r="B36" s="2" t="s">
        <v>76</v>
      </c>
      <c r="C36" s="3">
        <v>217</v>
      </c>
      <c r="D36" s="4">
        <v>263169</v>
      </c>
      <c r="E36" s="3">
        <v>196</v>
      </c>
      <c r="F36" s="4">
        <v>238382</v>
      </c>
      <c r="G36" s="3">
        <v>151601</v>
      </c>
      <c r="H36" s="3">
        <v>11714</v>
      </c>
      <c r="I36" s="3">
        <v>876</v>
      </c>
      <c r="J36" s="5">
        <f t="shared" si="0"/>
        <v>7.7268619600134564E-2</v>
      </c>
      <c r="K36" s="5">
        <v>8.9361702127659565E-2</v>
      </c>
      <c r="L36" s="5">
        <v>0.39724137931034492</v>
      </c>
      <c r="M36" s="5">
        <v>0.9754385964912281</v>
      </c>
      <c r="N36" s="3">
        <v>341</v>
      </c>
    </row>
    <row r="37" spans="1:14" x14ac:dyDescent="0.25">
      <c r="A37" s="2" t="s">
        <v>75</v>
      </c>
      <c r="B37" s="2" t="s">
        <v>77</v>
      </c>
      <c r="C37" s="3">
        <v>190</v>
      </c>
      <c r="D37" s="4">
        <v>232058</v>
      </c>
      <c r="E37" s="3">
        <v>171</v>
      </c>
      <c r="F37" s="4">
        <v>208955</v>
      </c>
      <c r="G37" s="3">
        <v>125659</v>
      </c>
      <c r="H37" s="3">
        <v>9049</v>
      </c>
      <c r="I37" s="3">
        <v>687</v>
      </c>
      <c r="J37" s="5">
        <f t="shared" si="0"/>
        <v>7.2012350886128326E-2</v>
      </c>
      <c r="K37" s="5">
        <v>9.6372549019607845E-2</v>
      </c>
      <c r="L37" s="5">
        <v>0.48380281690140847</v>
      </c>
      <c r="M37" s="5">
        <v>0.96705882352941175</v>
      </c>
      <c r="N37" s="3">
        <v>253</v>
      </c>
    </row>
    <row r="38" spans="1:14" x14ac:dyDescent="0.25">
      <c r="A38" s="2" t="s">
        <v>78</v>
      </c>
      <c r="B38" s="2" t="s">
        <v>79</v>
      </c>
      <c r="C38" s="3">
        <v>182</v>
      </c>
      <c r="D38" s="4">
        <v>225241</v>
      </c>
      <c r="E38" s="3">
        <v>168</v>
      </c>
      <c r="F38" s="4">
        <v>208003</v>
      </c>
      <c r="G38" s="3">
        <v>127638</v>
      </c>
      <c r="H38" s="3">
        <v>8766</v>
      </c>
      <c r="I38" s="3">
        <v>687</v>
      </c>
      <c r="J38" s="5">
        <f t="shared" si="0"/>
        <v>6.8678606684529686E-2</v>
      </c>
      <c r="K38" s="5">
        <v>9.4111111111111118E-2</v>
      </c>
      <c r="L38" s="5">
        <v>0.44210526315789472</v>
      </c>
      <c r="M38" s="5">
        <v>0.95627450980392159</v>
      </c>
      <c r="N38" s="3">
        <v>250</v>
      </c>
    </row>
    <row r="39" spans="1:14" x14ac:dyDescent="0.25">
      <c r="A39" s="2" t="s">
        <v>80</v>
      </c>
      <c r="B39" s="2" t="s">
        <v>81</v>
      </c>
      <c r="C39" s="3">
        <v>210</v>
      </c>
      <c r="D39" s="4">
        <v>264707</v>
      </c>
      <c r="E39" s="3">
        <v>174</v>
      </c>
      <c r="F39" s="4">
        <v>216771</v>
      </c>
      <c r="G39" s="3">
        <v>106293</v>
      </c>
      <c r="H39" s="3">
        <v>9322</v>
      </c>
      <c r="I39" s="3">
        <v>733</v>
      </c>
      <c r="J39" s="5">
        <f t="shared" si="0"/>
        <v>8.77009774867583E-2</v>
      </c>
      <c r="K39" s="5">
        <v>8.8229166666666664E-2</v>
      </c>
      <c r="L39" s="5">
        <v>0.44355932203389842</v>
      </c>
      <c r="M39" s="5">
        <v>0.96660377358490568</v>
      </c>
      <c r="N39" s="3">
        <v>225</v>
      </c>
    </row>
    <row r="40" spans="1:14" x14ac:dyDescent="0.25">
      <c r="A40" s="2" t="s">
        <v>80</v>
      </c>
      <c r="B40" s="2" t="s">
        <v>82</v>
      </c>
      <c r="C40" s="3">
        <v>202</v>
      </c>
      <c r="D40" s="4">
        <v>256249</v>
      </c>
      <c r="E40" s="3">
        <v>162</v>
      </c>
      <c r="F40" s="4">
        <v>204051</v>
      </c>
      <c r="G40" s="3">
        <v>118351</v>
      </c>
      <c r="H40" s="3">
        <v>10067</v>
      </c>
      <c r="I40" s="3">
        <v>836</v>
      </c>
      <c r="J40" s="5">
        <f t="shared" si="0"/>
        <v>8.5060540257370032E-2</v>
      </c>
      <c r="K40" s="5">
        <v>0.1154838709677419</v>
      </c>
      <c r="L40" s="5">
        <v>0.45411764705882363</v>
      </c>
      <c r="M40" s="5">
        <v>0.96030303030303032</v>
      </c>
      <c r="N40" s="3">
        <v>268</v>
      </c>
    </row>
    <row r="41" spans="1:14" x14ac:dyDescent="0.25">
      <c r="A41" s="2" t="s">
        <v>83</v>
      </c>
      <c r="B41" s="2" t="s">
        <v>84</v>
      </c>
      <c r="C41" s="3">
        <v>218</v>
      </c>
      <c r="D41" s="4">
        <v>269392</v>
      </c>
      <c r="E41" s="3">
        <v>175</v>
      </c>
      <c r="F41" s="4">
        <v>213155</v>
      </c>
      <c r="G41" s="3">
        <v>121351</v>
      </c>
      <c r="H41" s="3">
        <v>9773</v>
      </c>
      <c r="I41" s="3">
        <v>821</v>
      </c>
      <c r="J41" s="5">
        <f t="shared" si="0"/>
        <v>8.0534977050044906E-2</v>
      </c>
      <c r="K41" s="5">
        <v>9.4883720930232562E-2</v>
      </c>
      <c r="L41" s="5">
        <v>0.44967741935483868</v>
      </c>
      <c r="M41" s="5">
        <v>0.96727272727272728</v>
      </c>
      <c r="N41" s="3">
        <v>242</v>
      </c>
    </row>
    <row r="42" spans="1:14" x14ac:dyDescent="0.25">
      <c r="A42" s="2" t="s">
        <v>83</v>
      </c>
      <c r="B42" s="2" t="s">
        <v>85</v>
      </c>
      <c r="C42" s="3">
        <v>236</v>
      </c>
      <c r="D42" s="4">
        <v>287889</v>
      </c>
      <c r="E42" s="3">
        <v>168</v>
      </c>
      <c r="F42" s="4">
        <v>207954</v>
      </c>
      <c r="G42" s="3">
        <v>118383</v>
      </c>
      <c r="H42" s="3">
        <v>10391</v>
      </c>
      <c r="I42" s="3">
        <v>894</v>
      </c>
      <c r="J42" s="5">
        <f t="shared" si="0"/>
        <v>8.7774427071454511E-2</v>
      </c>
      <c r="K42" s="5">
        <v>0.1240909090909091</v>
      </c>
      <c r="L42" s="5">
        <v>0.39475409836065573</v>
      </c>
      <c r="M42" s="5">
        <v>0.98226415094339625</v>
      </c>
      <c r="N42" s="3">
        <v>240</v>
      </c>
    </row>
    <row r="43" spans="1:14" x14ac:dyDescent="0.25">
      <c r="A43" s="2" t="s">
        <v>86</v>
      </c>
      <c r="B43" s="2" t="s">
        <v>87</v>
      </c>
      <c r="C43" s="3">
        <v>203</v>
      </c>
      <c r="D43" s="4">
        <v>239990</v>
      </c>
      <c r="E43" s="3">
        <v>142</v>
      </c>
      <c r="F43" s="4">
        <v>163569</v>
      </c>
      <c r="G43" s="3">
        <v>132474</v>
      </c>
      <c r="H43" s="3">
        <v>10105</v>
      </c>
      <c r="I43" s="3">
        <v>900</v>
      </c>
      <c r="J43" s="5">
        <f t="shared" si="0"/>
        <v>7.6279118921448744E-2</v>
      </c>
      <c r="K43" s="5">
        <v>8.91566265060241E-2</v>
      </c>
      <c r="L43" s="5">
        <v>0.45491525423728818</v>
      </c>
      <c r="M43" s="5">
        <v>0.98</v>
      </c>
      <c r="N43" s="3">
        <v>244</v>
      </c>
    </row>
    <row r="44" spans="1:14" x14ac:dyDescent="0.25">
      <c r="A44" s="2" t="s">
        <v>86</v>
      </c>
      <c r="B44" s="2" t="s">
        <v>88</v>
      </c>
      <c r="C44" s="3">
        <v>205</v>
      </c>
      <c r="D44" s="4">
        <v>252771</v>
      </c>
      <c r="E44" s="3">
        <v>127</v>
      </c>
      <c r="F44" s="4">
        <v>152475</v>
      </c>
      <c r="G44" s="3">
        <v>132050</v>
      </c>
      <c r="H44" s="3">
        <v>9968</v>
      </c>
      <c r="I44" s="3">
        <v>812</v>
      </c>
      <c r="J44" s="5">
        <f t="shared" si="0"/>
        <v>7.5486558121923508E-2</v>
      </c>
      <c r="K44" s="5">
        <v>9.6382978723404247E-2</v>
      </c>
      <c r="L44" s="5">
        <v>0.51819672131147543</v>
      </c>
      <c r="M44" s="5">
        <v>0.99260000000000004</v>
      </c>
      <c r="N44" s="3">
        <v>290</v>
      </c>
    </row>
    <row r="45" spans="1:14" x14ac:dyDescent="0.25">
      <c r="A45" s="2" t="s">
        <v>89</v>
      </c>
      <c r="B45" s="2" t="s">
        <v>90</v>
      </c>
      <c r="C45" s="3">
        <v>199</v>
      </c>
      <c r="D45" s="4">
        <v>252424</v>
      </c>
      <c r="E45" s="3">
        <v>64</v>
      </c>
      <c r="F45" s="4">
        <v>73842</v>
      </c>
      <c r="G45" s="3">
        <v>114216</v>
      </c>
      <c r="H45" s="3">
        <v>8977</v>
      </c>
      <c r="I45" s="3">
        <v>754</v>
      </c>
      <c r="J45" s="5">
        <f t="shared" si="0"/>
        <v>7.8596693983329829E-2</v>
      </c>
      <c r="K45" s="5">
        <v>0.10102272727272731</v>
      </c>
      <c r="L45" s="5">
        <v>0.45468750000000002</v>
      </c>
      <c r="M45" s="5">
        <v>0.99051282051282064</v>
      </c>
      <c r="N45" s="3">
        <v>243</v>
      </c>
    </row>
    <row r="46" spans="1:14" x14ac:dyDescent="0.25">
      <c r="A46" s="2" t="s">
        <v>91</v>
      </c>
      <c r="B46" s="2" t="s">
        <v>92</v>
      </c>
      <c r="C46" s="3">
        <v>265</v>
      </c>
      <c r="D46" s="4">
        <v>330425</v>
      </c>
      <c r="E46" s="3">
        <v>25</v>
      </c>
      <c r="F46" s="4">
        <v>37560</v>
      </c>
      <c r="G46" s="3">
        <v>121481</v>
      </c>
      <c r="H46" s="3">
        <v>10094</v>
      </c>
      <c r="I46" s="3">
        <v>859</v>
      </c>
      <c r="J46" s="5">
        <f t="shared" si="0"/>
        <v>8.3091182983347195E-2</v>
      </c>
      <c r="K46" s="5">
        <v>9.8275862068965519E-2</v>
      </c>
      <c r="L46" s="5">
        <v>0.47347826086956518</v>
      </c>
      <c r="M46" s="5">
        <v>1</v>
      </c>
      <c r="N46" s="3">
        <v>259</v>
      </c>
    </row>
    <row r="47" spans="1:14" x14ac:dyDescent="0.25">
      <c r="A47" s="2" t="s">
        <v>91</v>
      </c>
      <c r="B47" s="2" t="s">
        <v>93</v>
      </c>
      <c r="C47" s="3">
        <v>209</v>
      </c>
      <c r="D47" s="4">
        <v>264208</v>
      </c>
      <c r="E47" s="3">
        <v>0</v>
      </c>
      <c r="F47" s="4">
        <v>0</v>
      </c>
      <c r="G47" s="3">
        <v>118256</v>
      </c>
      <c r="H47" s="3">
        <v>9584</v>
      </c>
      <c r="I47" s="3">
        <v>766</v>
      </c>
      <c r="J47" s="5">
        <f t="shared" si="0"/>
        <v>8.1044513597618731E-2</v>
      </c>
      <c r="K47" s="5">
        <v>9.3375E-2</v>
      </c>
      <c r="L47" s="5">
        <v>0.43606557377049182</v>
      </c>
      <c r="M47" s="5">
        <v>0</v>
      </c>
      <c r="N47" s="3">
        <v>273</v>
      </c>
    </row>
  </sheetData>
  <conditionalFormatting sqref="C3:D47">
    <cfRule type="expression" dxfId="5" priority="1">
      <formula>C3&gt;C2</formula>
    </cfRule>
    <cfRule type="expression" dxfId="4" priority="2">
      <formula>C3&lt;C2</formula>
    </cfRule>
  </conditionalFormatting>
  <conditionalFormatting sqref="G3:G47">
    <cfRule type="expression" dxfId="3" priority="5">
      <formula>G3&gt;G2</formula>
    </cfRule>
    <cfRule type="expression" dxfId="2" priority="6">
      <formula>G3&lt;G2</formula>
    </cfRule>
  </conditionalFormatting>
  <conditionalFormatting sqref="I3:L47">
    <cfRule type="expression" dxfId="1" priority="7">
      <formula>I3&gt;I2</formula>
    </cfRule>
    <cfRule type="expression" dxfId="0" priority="8">
      <formula>I3&lt;I2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Дмитриевич Дергачев</cp:lastModifiedBy>
  <dcterms:created xsi:type="dcterms:W3CDTF">2026-04-10T04:03:47Z</dcterms:created>
  <dcterms:modified xsi:type="dcterms:W3CDTF">2026-04-10T04:06:53Z</dcterms:modified>
</cp:coreProperties>
</file>