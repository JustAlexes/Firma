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rgacevad\Folder\"/>
    </mc:Choice>
  </mc:AlternateContent>
  <xr:revisionPtr revIDLastSave="0" documentId="13_ncr:1_{C7EFB4BC-7F06-4EBC-B4D8-9D56F32500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Статистика" sheetId="1" r:id="rId1"/>
  </sheets>
  <calcPr calcId="181029"/>
</workbook>
</file>

<file path=xl/calcChain.xml><?xml version="1.0" encoding="utf-8"?>
<calcChain xmlns="http://schemas.openxmlformats.org/spreadsheetml/2006/main">
  <c r="J32" i="1" l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<sst xmlns="http://schemas.openxmlformats.org/spreadsheetml/2006/main" count="76" uniqueCount="71">
  <si>
    <t>Обновлено</t>
  </si>
  <si>
    <t>Дата</t>
  </si>
  <si>
    <t>Заказано, шт.</t>
  </si>
  <si>
    <t>Заказано, руб.</t>
  </si>
  <si>
    <t>Выкуплено, шт.</t>
  </si>
  <si>
    <t>Выкуплено, руб.</t>
  </si>
  <si>
    <t>Показов</t>
  </si>
  <si>
    <t>Переходов в карточки</t>
  </si>
  <si>
    <t>Добавлений в корзину</t>
  </si>
  <si>
    <t>Средняя конверсия в клик</t>
  </si>
  <si>
    <t>Средняя конверсия в корзину</t>
  </si>
  <si>
    <t>Средняя конверсия в заказ</t>
  </si>
  <si>
    <t>Средний процент выкупа</t>
  </si>
  <si>
    <t>Добавлений в Отложенные</t>
  </si>
  <si>
    <t>23.03.2026 07:42</t>
  </si>
  <si>
    <t>23.02.2026</t>
  </si>
  <si>
    <t>23.03.2026 07:45</t>
  </si>
  <si>
    <t>24.02.2026</t>
  </si>
  <si>
    <t>23.03.2026 07:47</t>
  </si>
  <si>
    <t>25.02.2026</t>
  </si>
  <si>
    <t>23.03.2026 07:49</t>
  </si>
  <si>
    <t>26.02.2026</t>
  </si>
  <si>
    <t>23.03.2026 07:51</t>
  </si>
  <si>
    <t>27.02.2026</t>
  </si>
  <si>
    <t>23.03.2026 07:53</t>
  </si>
  <si>
    <t>28.02.2026</t>
  </si>
  <si>
    <t>23.03.2026 09:12</t>
  </si>
  <si>
    <t>01.03.2026</t>
  </si>
  <si>
    <t>23.03.2026 09:15</t>
  </si>
  <si>
    <t>02.03.2026</t>
  </si>
  <si>
    <t>23.03.2026 09:17</t>
  </si>
  <si>
    <t>03.03.2026</t>
  </si>
  <si>
    <t>23.03.2026 09:19</t>
  </si>
  <si>
    <t>04.03.2026</t>
  </si>
  <si>
    <t>23.03.2026 09:20</t>
  </si>
  <si>
    <t>05.03.2026</t>
  </si>
  <si>
    <t>23.03.2026 09:21</t>
  </si>
  <si>
    <t>06.03.2026</t>
  </si>
  <si>
    <t>23.03.2026 09:23</t>
  </si>
  <si>
    <t>07.03.2026</t>
  </si>
  <si>
    <t>23.03.2026 09:28</t>
  </si>
  <si>
    <t>08.03.2026</t>
  </si>
  <si>
    <t>23.03.2026 09:38</t>
  </si>
  <si>
    <t>09.03.2026</t>
  </si>
  <si>
    <t>25.03.2026 12:47</t>
  </si>
  <si>
    <t>10.03.2026</t>
  </si>
  <si>
    <t>25.03.2026 12:48</t>
  </si>
  <si>
    <t>11.03.2026</t>
  </si>
  <si>
    <t>26.03.2026 07:38</t>
  </si>
  <si>
    <t>12.03.2026</t>
  </si>
  <si>
    <t>25.03.2026 12:49</t>
  </si>
  <si>
    <t>13.03.2026</t>
  </si>
  <si>
    <t>26.03.2026 07:39</t>
  </si>
  <si>
    <t>14.03.2026</t>
  </si>
  <si>
    <t>26.03.2026 07:40</t>
  </si>
  <si>
    <t>15.03.2026</t>
  </si>
  <si>
    <t>16.03.2026</t>
  </si>
  <si>
    <t>26.03.2026 07:41</t>
  </si>
  <si>
    <t>17.03.2026</t>
  </si>
  <si>
    <t>26.03.2026 07:42</t>
  </si>
  <si>
    <t>18.03.2026</t>
  </si>
  <si>
    <t>19.03.2026</t>
  </si>
  <si>
    <t>26.03.2026 07:43</t>
  </si>
  <si>
    <t>20.03.2026</t>
  </si>
  <si>
    <t>21.03.2026</t>
  </si>
  <si>
    <t>26.03.2026 07:44</t>
  </si>
  <si>
    <t>22.03.2026</t>
  </si>
  <si>
    <t>23.03.2026</t>
  </si>
  <si>
    <t>26.03.2026 07:45</t>
  </si>
  <si>
    <t>24.03.2026</t>
  </si>
  <si>
    <t>25.03.2026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</si>
</sst>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₽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CE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164" fontId="0" fillId="0" borderId="1" xfId="0" applyNumberFormat="1" applyBorder="1"/>
    <xf numFmtId="10" fontId="0" fillId="0" borderId="1" xfId="0" applyNumberFormat="1" applyBorder="1"/>
  </cellXfs>
  <cellStyles count="1">
    <cellStyle name="Обычный" xfId="0" builtinId="0"/>
  </cellStyles>
  <dxfs count="6"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tabSelected="1" workbookViewId="0">
      <selection activeCell="H20" sqref="H20"/>
    </sheetView>
  </sheetViews>
  <sheetFormatPr defaultRowHeight="15" x14ac:dyDescent="0.25"/>
  <cols>
    <col min="1" max="1" width="18.7109375" customWidth="1"/>
    <col min="2" max="2" width="12.7109375" customWidth="1"/>
    <col min="3" max="3" width="15.7109375" customWidth="1"/>
    <col min="4" max="5" width="16.7109375" customWidth="1"/>
    <col min="6" max="6" width="17.7109375" customWidth="1"/>
    <col min="7" max="7" width="9.7109375" customWidth="1"/>
    <col min="8" max="9" width="22.7109375" customWidth="1"/>
    <col min="10" max="10" width="26.7109375" customWidth="1"/>
    <col min="11" max="11" width="29.7109375" customWidth="1"/>
    <col min="12" max="12" width="27.7109375" customWidth="1"/>
    <col min="13" max="13" width="24.7109375" customWidth="1"/>
    <col min="14" max="14" width="25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3">
        <v>326</v>
      </c>
      <c r="D2" s="4">
        <v>396591</v>
      </c>
      <c r="E2" s="3">
        <v>324</v>
      </c>
      <c r="F2" s="4">
        <v>394239</v>
      </c>
      <c r="G2" s="3">
        <v>302960</v>
      </c>
      <c r="H2" s="3">
        <v>19200</v>
      </c>
      <c r="I2" s="3">
        <v>1345</v>
      </c>
      <c r="J2" s="5">
        <f t="shared" ref="J2:J32" si="0">IFERROR(H2/G2,0)</f>
        <v>6.337470293108001E-2</v>
      </c>
      <c r="K2" s="5">
        <v>8.3714285714285713E-2</v>
      </c>
      <c r="L2" s="5">
        <v>0.37808219178082192</v>
      </c>
      <c r="M2" s="5">
        <v>0.96082191780821913</v>
      </c>
      <c r="N2" s="3">
        <v>457</v>
      </c>
    </row>
    <row r="3" spans="1:14" x14ac:dyDescent="0.25">
      <c r="A3" s="2" t="s">
        <v>16</v>
      </c>
      <c r="B3" s="2" t="s">
        <v>17</v>
      </c>
      <c r="C3" s="3">
        <v>367</v>
      </c>
      <c r="D3" s="4">
        <v>444303</v>
      </c>
      <c r="E3" s="3">
        <v>367</v>
      </c>
      <c r="F3" s="4">
        <v>444303</v>
      </c>
      <c r="G3" s="3">
        <v>326685</v>
      </c>
      <c r="H3" s="3">
        <v>19471</v>
      </c>
      <c r="I3" s="3">
        <v>1399</v>
      </c>
      <c r="J3" s="5">
        <f t="shared" si="0"/>
        <v>5.9601757044247514E-2</v>
      </c>
      <c r="K3" s="5">
        <v>8.8796296296296304E-2</v>
      </c>
      <c r="L3" s="5">
        <v>0.39960000000000001</v>
      </c>
      <c r="M3" s="5">
        <v>0.95971830985915485</v>
      </c>
      <c r="N3" s="3">
        <v>455</v>
      </c>
    </row>
    <row r="4" spans="1:14" x14ac:dyDescent="0.25">
      <c r="A4" s="2" t="s">
        <v>18</v>
      </c>
      <c r="B4" s="2" t="s">
        <v>19</v>
      </c>
      <c r="C4" s="3">
        <v>310</v>
      </c>
      <c r="D4" s="4">
        <v>376271</v>
      </c>
      <c r="E4" s="3">
        <v>309</v>
      </c>
      <c r="F4" s="4">
        <v>374981</v>
      </c>
      <c r="G4" s="3">
        <v>265545</v>
      </c>
      <c r="H4" s="3">
        <v>16506</v>
      </c>
      <c r="I4" s="3">
        <v>1263</v>
      </c>
      <c r="J4" s="5">
        <f t="shared" si="0"/>
        <v>6.2158956109134043E-2</v>
      </c>
      <c r="K4" s="5">
        <v>8.4673913043478266E-2</v>
      </c>
      <c r="L4" s="5">
        <v>0.39318840579710151</v>
      </c>
      <c r="M4" s="5">
        <v>0.95714285714285707</v>
      </c>
      <c r="N4" s="3">
        <v>403</v>
      </c>
    </row>
    <row r="5" spans="1:14" x14ac:dyDescent="0.25">
      <c r="A5" s="2" t="s">
        <v>20</v>
      </c>
      <c r="B5" s="2" t="s">
        <v>21</v>
      </c>
      <c r="C5" s="3">
        <v>309</v>
      </c>
      <c r="D5" s="4">
        <v>394711</v>
      </c>
      <c r="E5" s="3">
        <v>309</v>
      </c>
      <c r="F5" s="4">
        <v>394711</v>
      </c>
      <c r="G5" s="3">
        <v>222525</v>
      </c>
      <c r="H5" s="3">
        <v>16313</v>
      </c>
      <c r="I5" s="3">
        <v>1214</v>
      </c>
      <c r="J5" s="5">
        <f t="shared" si="0"/>
        <v>7.3308617009324797E-2</v>
      </c>
      <c r="K5" s="5">
        <v>9.7899999999999987E-2</v>
      </c>
      <c r="L5" s="5">
        <v>0.33291666666666658</v>
      </c>
      <c r="M5" s="5">
        <v>0.95945205479452056</v>
      </c>
      <c r="N5" s="3">
        <v>408</v>
      </c>
    </row>
    <row r="6" spans="1:14" x14ac:dyDescent="0.25">
      <c r="A6" s="2" t="s">
        <v>22</v>
      </c>
      <c r="B6" s="2" t="s">
        <v>23</v>
      </c>
      <c r="C6" s="3">
        <v>313</v>
      </c>
      <c r="D6" s="4">
        <v>401453</v>
      </c>
      <c r="E6" s="3">
        <v>312</v>
      </c>
      <c r="F6" s="4">
        <v>399825</v>
      </c>
      <c r="G6" s="3">
        <v>259389</v>
      </c>
      <c r="H6" s="3">
        <v>16109</v>
      </c>
      <c r="I6" s="3">
        <v>1208</v>
      </c>
      <c r="J6" s="5">
        <f t="shared" si="0"/>
        <v>6.210363585194438E-2</v>
      </c>
      <c r="K6" s="5">
        <v>7.9784946236559143E-2</v>
      </c>
      <c r="L6" s="5">
        <v>0.40647058823529408</v>
      </c>
      <c r="M6" s="5">
        <v>0.95714285714285707</v>
      </c>
      <c r="N6" s="3">
        <v>398</v>
      </c>
    </row>
    <row r="7" spans="1:14" x14ac:dyDescent="0.25">
      <c r="A7" s="2" t="s">
        <v>24</v>
      </c>
      <c r="B7" s="2" t="s">
        <v>25</v>
      </c>
      <c r="C7" s="3">
        <v>322</v>
      </c>
      <c r="D7" s="4">
        <v>420954</v>
      </c>
      <c r="E7" s="3">
        <v>321</v>
      </c>
      <c r="F7" s="4">
        <v>419594</v>
      </c>
      <c r="G7" s="3">
        <v>273232</v>
      </c>
      <c r="H7" s="3">
        <v>17369</v>
      </c>
      <c r="I7" s="3">
        <v>1284</v>
      </c>
      <c r="J7" s="5">
        <f t="shared" si="0"/>
        <v>6.3568688879779817E-2</v>
      </c>
      <c r="K7" s="5">
        <v>7.2842105263157902E-2</v>
      </c>
      <c r="L7" s="5">
        <v>0.39787878787878789</v>
      </c>
      <c r="M7" s="5">
        <v>0.95093749999999999</v>
      </c>
      <c r="N7" s="3">
        <v>366</v>
      </c>
    </row>
    <row r="8" spans="1:14" x14ac:dyDescent="0.25">
      <c r="A8" s="2" t="s">
        <v>26</v>
      </c>
      <c r="B8" s="2" t="s">
        <v>27</v>
      </c>
      <c r="C8" s="3">
        <v>371</v>
      </c>
      <c r="D8" s="4">
        <v>490574</v>
      </c>
      <c r="E8" s="3">
        <v>368</v>
      </c>
      <c r="F8" s="4">
        <v>486963</v>
      </c>
      <c r="G8" s="3">
        <v>245809</v>
      </c>
      <c r="H8" s="3">
        <v>17517</v>
      </c>
      <c r="I8" s="3">
        <v>1351</v>
      </c>
      <c r="J8" s="5">
        <f t="shared" si="0"/>
        <v>7.1262647014551955E-2</v>
      </c>
      <c r="K8" s="5">
        <v>7.7499999999999999E-2</v>
      </c>
      <c r="L8" s="5">
        <v>0.41865671641791052</v>
      </c>
      <c r="M8" s="5">
        <v>0.96514705882352947</v>
      </c>
      <c r="N8" s="3">
        <v>460</v>
      </c>
    </row>
    <row r="9" spans="1:14" x14ac:dyDescent="0.25">
      <c r="A9" s="2" t="s">
        <v>28</v>
      </c>
      <c r="B9" s="2" t="s">
        <v>29</v>
      </c>
      <c r="C9" s="3">
        <v>341</v>
      </c>
      <c r="D9" s="4">
        <v>426620</v>
      </c>
      <c r="E9" s="3">
        <v>340</v>
      </c>
      <c r="F9" s="4">
        <v>424806</v>
      </c>
      <c r="G9" s="3">
        <v>218082</v>
      </c>
      <c r="H9" s="3">
        <v>15540</v>
      </c>
      <c r="I9" s="3">
        <v>1103</v>
      </c>
      <c r="J9" s="5">
        <f t="shared" si="0"/>
        <v>7.125760035216111E-2</v>
      </c>
      <c r="K9" s="5">
        <v>7.5567010309278343E-2</v>
      </c>
      <c r="L9" s="5">
        <v>0.52319444444444441</v>
      </c>
      <c r="M9" s="5">
        <v>0.95514705882352946</v>
      </c>
      <c r="N9" s="3">
        <v>394</v>
      </c>
    </row>
    <row r="10" spans="1:14" x14ac:dyDescent="0.25">
      <c r="A10" s="2" t="s">
        <v>30</v>
      </c>
      <c r="B10" s="2" t="s">
        <v>31</v>
      </c>
      <c r="C10" s="3">
        <v>387</v>
      </c>
      <c r="D10" s="4">
        <v>501848</v>
      </c>
      <c r="E10" s="3">
        <v>385</v>
      </c>
      <c r="F10" s="4">
        <v>498827</v>
      </c>
      <c r="G10" s="3">
        <v>224837</v>
      </c>
      <c r="H10" s="3">
        <v>15990</v>
      </c>
      <c r="I10" s="3">
        <v>1200</v>
      </c>
      <c r="J10" s="5">
        <f t="shared" si="0"/>
        <v>7.1118187842748301E-2</v>
      </c>
      <c r="K10" s="5">
        <v>8.6249999999999993E-2</v>
      </c>
      <c r="L10" s="5">
        <v>0.41662337662337662</v>
      </c>
      <c r="M10" s="5">
        <v>0.97186666666666666</v>
      </c>
      <c r="N10" s="3">
        <v>328</v>
      </c>
    </row>
    <row r="11" spans="1:14" x14ac:dyDescent="0.25">
      <c r="A11" s="2" t="s">
        <v>32</v>
      </c>
      <c r="B11" s="2" t="s">
        <v>33</v>
      </c>
      <c r="C11" s="3">
        <v>324</v>
      </c>
      <c r="D11" s="4">
        <v>431269</v>
      </c>
      <c r="E11" s="3">
        <v>320</v>
      </c>
      <c r="F11" s="4">
        <v>426868</v>
      </c>
      <c r="G11" s="3">
        <v>212892</v>
      </c>
      <c r="H11" s="3">
        <v>15275</v>
      </c>
      <c r="I11" s="3">
        <v>1196</v>
      </c>
      <c r="J11" s="5">
        <f t="shared" si="0"/>
        <v>7.1749995302782629E-2</v>
      </c>
      <c r="K11" s="5">
        <v>0.1047422680412371</v>
      </c>
      <c r="L11" s="5">
        <v>0.36833333333333329</v>
      </c>
      <c r="M11" s="5">
        <v>0.94943661971830995</v>
      </c>
      <c r="N11" s="3">
        <v>351</v>
      </c>
    </row>
    <row r="12" spans="1:14" x14ac:dyDescent="0.25">
      <c r="A12" s="2" t="s">
        <v>34</v>
      </c>
      <c r="B12" s="2" t="s">
        <v>35</v>
      </c>
      <c r="C12" s="3">
        <v>353</v>
      </c>
      <c r="D12" s="4">
        <v>446401</v>
      </c>
      <c r="E12" s="3">
        <v>351</v>
      </c>
      <c r="F12" s="4">
        <v>442751</v>
      </c>
      <c r="G12" s="3">
        <v>200422</v>
      </c>
      <c r="H12" s="3">
        <v>14431</v>
      </c>
      <c r="I12" s="3">
        <v>1106</v>
      </c>
      <c r="J12" s="5">
        <f t="shared" si="0"/>
        <v>7.2003073514883595E-2</v>
      </c>
      <c r="K12" s="5">
        <v>8.3861386138613853E-2</v>
      </c>
      <c r="L12" s="5">
        <v>0.48458333333333342</v>
      </c>
      <c r="M12" s="5">
        <v>0.95</v>
      </c>
      <c r="N12" s="3">
        <v>354</v>
      </c>
    </row>
    <row r="13" spans="1:14" x14ac:dyDescent="0.25">
      <c r="A13" s="2" t="s">
        <v>36</v>
      </c>
      <c r="B13" s="2" t="s">
        <v>37</v>
      </c>
      <c r="C13" s="3">
        <v>317</v>
      </c>
      <c r="D13" s="4">
        <v>432330</v>
      </c>
      <c r="E13" s="3">
        <v>313</v>
      </c>
      <c r="F13" s="4">
        <v>427795</v>
      </c>
      <c r="G13" s="3">
        <v>192265</v>
      </c>
      <c r="H13" s="3">
        <v>13970</v>
      </c>
      <c r="I13" s="3">
        <v>1062</v>
      </c>
      <c r="J13" s="5">
        <f t="shared" si="0"/>
        <v>7.2660130548981877E-2</v>
      </c>
      <c r="K13" s="5">
        <v>0.10199999999999999</v>
      </c>
      <c r="L13" s="5">
        <v>0.42044117647058832</v>
      </c>
      <c r="M13" s="5">
        <v>0.96227272727272739</v>
      </c>
      <c r="N13" s="3">
        <v>341</v>
      </c>
    </row>
    <row r="14" spans="1:14" x14ac:dyDescent="0.25">
      <c r="A14" s="2" t="s">
        <v>38</v>
      </c>
      <c r="B14" s="2" t="s">
        <v>39</v>
      </c>
      <c r="C14" s="3">
        <v>275</v>
      </c>
      <c r="D14" s="4">
        <v>369566</v>
      </c>
      <c r="E14" s="3">
        <v>268</v>
      </c>
      <c r="F14" s="4">
        <v>362004</v>
      </c>
      <c r="G14" s="3">
        <v>272627</v>
      </c>
      <c r="H14" s="3">
        <v>16303</v>
      </c>
      <c r="I14" s="3">
        <v>1100</v>
      </c>
      <c r="J14" s="5">
        <f t="shared" si="0"/>
        <v>5.9799653005755113E-2</v>
      </c>
      <c r="K14" s="5">
        <v>7.9900990099009903E-2</v>
      </c>
      <c r="L14" s="5">
        <v>0.40411764705882353</v>
      </c>
      <c r="M14" s="5">
        <v>0.95343283582089555</v>
      </c>
      <c r="N14" s="3">
        <v>424</v>
      </c>
    </row>
    <row r="15" spans="1:14" x14ac:dyDescent="0.25">
      <c r="A15" s="2" t="s">
        <v>40</v>
      </c>
      <c r="B15" s="2" t="s">
        <v>41</v>
      </c>
      <c r="C15" s="3">
        <v>234</v>
      </c>
      <c r="D15" s="4">
        <v>315327</v>
      </c>
      <c r="E15" s="3">
        <v>228</v>
      </c>
      <c r="F15" s="4">
        <v>307946</v>
      </c>
      <c r="G15" s="3">
        <v>220115</v>
      </c>
      <c r="H15" s="3">
        <v>13611</v>
      </c>
      <c r="I15" s="3">
        <v>981</v>
      </c>
      <c r="J15" s="5">
        <f t="shared" si="0"/>
        <v>6.1835858528496469E-2</v>
      </c>
      <c r="K15" s="5">
        <v>8.3535353535353532E-2</v>
      </c>
      <c r="L15" s="5">
        <v>0.40742424242424241</v>
      </c>
      <c r="M15" s="5">
        <v>0.97369230769230763</v>
      </c>
      <c r="N15" s="3">
        <v>309</v>
      </c>
    </row>
    <row r="16" spans="1:14" x14ac:dyDescent="0.25">
      <c r="A16" s="2" t="s">
        <v>42</v>
      </c>
      <c r="B16" s="2" t="s">
        <v>43</v>
      </c>
      <c r="C16" s="3">
        <v>263</v>
      </c>
      <c r="D16" s="4">
        <v>339590</v>
      </c>
      <c r="E16" s="3">
        <v>253</v>
      </c>
      <c r="F16" s="4">
        <v>323574</v>
      </c>
      <c r="G16" s="3">
        <v>239321</v>
      </c>
      <c r="H16" s="3">
        <v>15623</v>
      </c>
      <c r="I16" s="3">
        <v>1072</v>
      </c>
      <c r="J16" s="5">
        <f t="shared" si="0"/>
        <v>6.5280522812456915E-2</v>
      </c>
      <c r="K16" s="5">
        <v>7.6489361702127653E-2</v>
      </c>
      <c r="L16" s="5">
        <v>0.38628571428571429</v>
      </c>
      <c r="M16" s="5">
        <v>0.97826086956521729</v>
      </c>
      <c r="N16" s="3">
        <v>387</v>
      </c>
    </row>
    <row r="17" spans="1:14" x14ac:dyDescent="0.25">
      <c r="A17" s="2" t="s">
        <v>44</v>
      </c>
      <c r="B17" s="2" t="s">
        <v>45</v>
      </c>
      <c r="C17" s="3">
        <v>243</v>
      </c>
      <c r="D17" s="4">
        <v>317649</v>
      </c>
      <c r="E17" s="3">
        <v>239</v>
      </c>
      <c r="F17" s="4">
        <v>313429</v>
      </c>
      <c r="G17" s="3">
        <v>165823</v>
      </c>
      <c r="H17" s="3">
        <v>12385</v>
      </c>
      <c r="I17" s="3">
        <v>963</v>
      </c>
      <c r="J17" s="5">
        <f t="shared" si="0"/>
        <v>7.4688071015480362E-2</v>
      </c>
      <c r="K17" s="5">
        <v>8.8585858585858587E-2</v>
      </c>
      <c r="L17" s="5">
        <v>0.49304347826086953</v>
      </c>
      <c r="M17" s="5">
        <v>0.9425</v>
      </c>
      <c r="N17" s="3">
        <v>347</v>
      </c>
    </row>
    <row r="18" spans="1:14" x14ac:dyDescent="0.25">
      <c r="A18" s="2" t="s">
        <v>46</v>
      </c>
      <c r="B18" s="2" t="s">
        <v>47</v>
      </c>
      <c r="C18" s="3">
        <v>181</v>
      </c>
      <c r="D18" s="4">
        <v>230809</v>
      </c>
      <c r="E18" s="3">
        <v>171</v>
      </c>
      <c r="F18" s="4">
        <v>220069</v>
      </c>
      <c r="G18" s="3">
        <v>173565</v>
      </c>
      <c r="H18" s="3">
        <v>11624</v>
      </c>
      <c r="I18" s="3">
        <v>921</v>
      </c>
      <c r="J18" s="5">
        <f t="shared" si="0"/>
        <v>6.697202777057587E-2</v>
      </c>
      <c r="K18" s="5">
        <v>0.108804347826087</v>
      </c>
      <c r="L18" s="5">
        <v>0.37305084745762712</v>
      </c>
      <c r="M18" s="5">
        <v>0.96719298245614038</v>
      </c>
      <c r="N18" s="3">
        <v>338</v>
      </c>
    </row>
    <row r="19" spans="1:14" x14ac:dyDescent="0.25">
      <c r="A19" s="2" t="s">
        <v>48</v>
      </c>
      <c r="B19" s="2" t="s">
        <v>49</v>
      </c>
      <c r="C19" s="3">
        <v>209</v>
      </c>
      <c r="D19" s="4">
        <v>282434</v>
      </c>
      <c r="E19" s="3">
        <v>196</v>
      </c>
      <c r="F19" s="4">
        <v>267873</v>
      </c>
      <c r="G19" s="3">
        <v>164251</v>
      </c>
      <c r="H19" s="3">
        <v>11117</v>
      </c>
      <c r="I19" s="3">
        <v>793</v>
      </c>
      <c r="J19" s="5">
        <f t="shared" si="0"/>
        <v>6.7682997363790784E-2</v>
      </c>
      <c r="K19" s="5">
        <v>7.7826086956521739E-2</v>
      </c>
      <c r="L19" s="5">
        <v>0.4380701754385965</v>
      </c>
      <c r="M19" s="5">
        <v>0.94517857142857142</v>
      </c>
      <c r="N19" s="3">
        <v>292</v>
      </c>
    </row>
    <row r="20" spans="1:14" x14ac:dyDescent="0.25">
      <c r="A20" s="2" t="s">
        <v>50</v>
      </c>
      <c r="B20" s="2" t="s">
        <v>51</v>
      </c>
      <c r="C20" s="3">
        <v>237</v>
      </c>
      <c r="D20" s="4">
        <v>310966</v>
      </c>
      <c r="E20" s="3">
        <v>214</v>
      </c>
      <c r="F20" s="4">
        <v>276901</v>
      </c>
      <c r="G20" s="3">
        <v>182081</v>
      </c>
      <c r="H20" s="3">
        <v>12785</v>
      </c>
      <c r="I20" s="3">
        <v>975</v>
      </c>
      <c r="J20" s="5">
        <f t="shared" si="0"/>
        <v>7.0216002767998859E-2</v>
      </c>
      <c r="K20" s="5">
        <v>9.1489361702127653E-2</v>
      </c>
      <c r="L20" s="5">
        <v>0.36016393442622952</v>
      </c>
      <c r="M20" s="5">
        <v>0.96525423728813564</v>
      </c>
      <c r="N20" s="3">
        <v>390</v>
      </c>
    </row>
    <row r="21" spans="1:14" x14ac:dyDescent="0.25">
      <c r="A21" s="2" t="s">
        <v>52</v>
      </c>
      <c r="B21" s="2" t="s">
        <v>53</v>
      </c>
      <c r="C21" s="3">
        <v>225</v>
      </c>
      <c r="D21" s="4">
        <v>305772</v>
      </c>
      <c r="E21" s="3">
        <v>208</v>
      </c>
      <c r="F21" s="4">
        <v>282335</v>
      </c>
      <c r="G21" s="3">
        <v>312695</v>
      </c>
      <c r="H21" s="3">
        <v>16261</v>
      </c>
      <c r="I21" s="3">
        <v>1102</v>
      </c>
      <c r="J21" s="5">
        <f t="shared" si="0"/>
        <v>5.2002750283822896E-2</v>
      </c>
      <c r="K21" s="5">
        <v>0.104020618556701</v>
      </c>
      <c r="L21" s="5">
        <v>0.41714285714285709</v>
      </c>
      <c r="M21" s="5">
        <v>0.95385714285714285</v>
      </c>
      <c r="N21" s="3">
        <v>436</v>
      </c>
    </row>
    <row r="22" spans="1:14" x14ac:dyDescent="0.25">
      <c r="A22" s="2" t="s">
        <v>54</v>
      </c>
      <c r="B22" s="2" t="s">
        <v>55</v>
      </c>
      <c r="C22" s="3">
        <v>223</v>
      </c>
      <c r="D22" s="4">
        <v>286812</v>
      </c>
      <c r="E22" s="3">
        <v>208</v>
      </c>
      <c r="F22" s="4">
        <v>267195</v>
      </c>
      <c r="G22" s="3">
        <v>245765</v>
      </c>
      <c r="H22" s="3">
        <v>13922</v>
      </c>
      <c r="I22" s="3">
        <v>1070</v>
      </c>
      <c r="J22" s="5">
        <f t="shared" si="0"/>
        <v>5.6647610522246865E-2</v>
      </c>
      <c r="K22" s="5">
        <v>9.43157894736842E-2</v>
      </c>
      <c r="L22" s="5">
        <v>0.36507936507936511</v>
      </c>
      <c r="M22" s="5">
        <v>0.9374137931034483</v>
      </c>
      <c r="N22" s="3">
        <v>316</v>
      </c>
    </row>
    <row r="23" spans="1:14" x14ac:dyDescent="0.25">
      <c r="A23" s="2" t="s">
        <v>54</v>
      </c>
      <c r="B23" s="2" t="s">
        <v>56</v>
      </c>
      <c r="C23" s="3">
        <v>219</v>
      </c>
      <c r="D23" s="4">
        <v>283986</v>
      </c>
      <c r="E23" s="3">
        <v>186</v>
      </c>
      <c r="F23" s="4">
        <v>242957</v>
      </c>
      <c r="G23" s="3">
        <v>224933</v>
      </c>
      <c r="H23" s="3">
        <v>12906</v>
      </c>
      <c r="I23" s="3">
        <v>924</v>
      </c>
      <c r="J23" s="5">
        <f t="shared" si="0"/>
        <v>5.73770856210516E-2</v>
      </c>
      <c r="K23" s="5">
        <v>0.1007142857142857</v>
      </c>
      <c r="L23" s="5">
        <v>0.39465517241379311</v>
      </c>
      <c r="M23" s="5">
        <v>0.97499999999999998</v>
      </c>
      <c r="N23" s="3">
        <v>361</v>
      </c>
    </row>
    <row r="24" spans="1:14" x14ac:dyDescent="0.25">
      <c r="A24" s="2" t="s">
        <v>57</v>
      </c>
      <c r="B24" s="2" t="s">
        <v>58</v>
      </c>
      <c r="C24" s="3">
        <v>209</v>
      </c>
      <c r="D24" s="4">
        <v>271732</v>
      </c>
      <c r="E24" s="3">
        <v>165</v>
      </c>
      <c r="F24" s="4">
        <v>216887</v>
      </c>
      <c r="G24" s="3">
        <v>216194</v>
      </c>
      <c r="H24" s="3">
        <v>11574</v>
      </c>
      <c r="I24" s="3">
        <v>848</v>
      </c>
      <c r="J24" s="5">
        <f t="shared" si="0"/>
        <v>5.3535250747014256E-2</v>
      </c>
      <c r="K24" s="5">
        <v>8.4565217391304348E-2</v>
      </c>
      <c r="L24" s="5">
        <v>0.45374999999999999</v>
      </c>
      <c r="M24" s="5">
        <v>0.97074074074074079</v>
      </c>
      <c r="N24" s="3">
        <v>296</v>
      </c>
    </row>
    <row r="25" spans="1:14" x14ac:dyDescent="0.25">
      <c r="A25" s="2" t="s">
        <v>59</v>
      </c>
      <c r="B25" s="2" t="s">
        <v>60</v>
      </c>
      <c r="C25" s="3">
        <v>198</v>
      </c>
      <c r="D25" s="4">
        <v>255545</v>
      </c>
      <c r="E25" s="3">
        <v>151</v>
      </c>
      <c r="F25" s="4">
        <v>195972</v>
      </c>
      <c r="G25" s="3">
        <v>145959</v>
      </c>
      <c r="H25" s="3">
        <v>10270</v>
      </c>
      <c r="I25" s="3">
        <v>851</v>
      </c>
      <c r="J25" s="5">
        <f t="shared" si="0"/>
        <v>7.0362225008392773E-2</v>
      </c>
      <c r="K25" s="5">
        <v>0.11402061855670099</v>
      </c>
      <c r="L25" s="5">
        <v>0.41317460317460308</v>
      </c>
      <c r="M25" s="5">
        <v>0.97892857142857137</v>
      </c>
      <c r="N25" s="3">
        <v>268</v>
      </c>
    </row>
    <row r="26" spans="1:14" x14ac:dyDescent="0.25">
      <c r="A26" s="2" t="s">
        <v>59</v>
      </c>
      <c r="B26" s="2" t="s">
        <v>61</v>
      </c>
      <c r="C26" s="3">
        <v>198</v>
      </c>
      <c r="D26" s="4">
        <v>243320</v>
      </c>
      <c r="E26" s="3">
        <v>149</v>
      </c>
      <c r="F26" s="4">
        <v>179706</v>
      </c>
      <c r="G26" s="3">
        <v>120611</v>
      </c>
      <c r="H26" s="3">
        <v>9584</v>
      </c>
      <c r="I26" s="3">
        <v>780</v>
      </c>
      <c r="J26" s="5">
        <f t="shared" si="0"/>
        <v>7.9462072281964335E-2</v>
      </c>
      <c r="K26" s="5">
        <v>9.4408602150537646E-2</v>
      </c>
      <c r="L26" s="5">
        <v>0.42449999999999999</v>
      </c>
      <c r="M26" s="5">
        <v>0.99685185185185188</v>
      </c>
      <c r="N26" s="3">
        <v>271</v>
      </c>
    </row>
    <row r="27" spans="1:14" x14ac:dyDescent="0.25">
      <c r="A27" s="2" t="s">
        <v>62</v>
      </c>
      <c r="B27" s="2" t="s">
        <v>63</v>
      </c>
      <c r="C27" s="3">
        <v>160</v>
      </c>
      <c r="D27" s="4">
        <v>205892</v>
      </c>
      <c r="E27" s="3">
        <v>116</v>
      </c>
      <c r="F27" s="4">
        <v>146356</v>
      </c>
      <c r="G27" s="3">
        <v>120093</v>
      </c>
      <c r="H27" s="3">
        <v>9272</v>
      </c>
      <c r="I27" s="3">
        <v>713</v>
      </c>
      <c r="J27" s="5">
        <f t="shared" si="0"/>
        <v>7.7206831372353096E-2</v>
      </c>
      <c r="K27" s="5">
        <v>0.105</v>
      </c>
      <c r="L27" s="5">
        <v>0.41068965517241379</v>
      </c>
      <c r="M27" s="5">
        <v>0.94374999999999998</v>
      </c>
      <c r="N27" s="3">
        <v>269</v>
      </c>
    </row>
    <row r="28" spans="1:14" x14ac:dyDescent="0.25">
      <c r="A28" s="2" t="s">
        <v>62</v>
      </c>
      <c r="B28" s="2" t="s">
        <v>64</v>
      </c>
      <c r="C28" s="3">
        <v>196</v>
      </c>
      <c r="D28" s="4">
        <v>248331</v>
      </c>
      <c r="E28" s="3">
        <v>150</v>
      </c>
      <c r="F28" s="4">
        <v>191536</v>
      </c>
      <c r="G28" s="3">
        <v>104174</v>
      </c>
      <c r="H28" s="3">
        <v>8704</v>
      </c>
      <c r="I28" s="3">
        <v>705</v>
      </c>
      <c r="J28" s="5">
        <f t="shared" si="0"/>
        <v>8.3552517902739654E-2</v>
      </c>
      <c r="K28" s="5">
        <v>9.9268292682926834E-2</v>
      </c>
      <c r="L28" s="5">
        <v>0.38775862068965522</v>
      </c>
      <c r="M28" s="5">
        <v>0.98145454545454536</v>
      </c>
      <c r="N28" s="3">
        <v>192</v>
      </c>
    </row>
    <row r="29" spans="1:14" x14ac:dyDescent="0.25">
      <c r="A29" s="2" t="s">
        <v>65</v>
      </c>
      <c r="B29" s="2" t="s">
        <v>66</v>
      </c>
      <c r="C29" s="3">
        <v>202</v>
      </c>
      <c r="D29" s="4">
        <v>270523</v>
      </c>
      <c r="E29" s="3">
        <v>116</v>
      </c>
      <c r="F29" s="4">
        <v>158415</v>
      </c>
      <c r="G29" s="3">
        <v>124744</v>
      </c>
      <c r="H29" s="3">
        <v>10137</v>
      </c>
      <c r="I29" s="3">
        <v>784</v>
      </c>
      <c r="J29" s="5">
        <f t="shared" si="0"/>
        <v>8.12624254473161E-2</v>
      </c>
      <c r="K29" s="5">
        <v>0.1098958333333333</v>
      </c>
      <c r="L29" s="5">
        <v>0.4292537313432836</v>
      </c>
      <c r="M29" s="5">
        <v>0.96081632653061222</v>
      </c>
      <c r="N29" s="3">
        <v>241</v>
      </c>
    </row>
    <row r="30" spans="1:14" x14ac:dyDescent="0.25">
      <c r="A30" s="2" t="s">
        <v>65</v>
      </c>
      <c r="B30" s="2" t="s">
        <v>67</v>
      </c>
      <c r="C30" s="3">
        <v>165</v>
      </c>
      <c r="D30" s="4">
        <v>209700</v>
      </c>
      <c r="E30" s="3">
        <v>63</v>
      </c>
      <c r="F30" s="4">
        <v>84203</v>
      </c>
      <c r="G30" s="3">
        <v>116090</v>
      </c>
      <c r="H30" s="3">
        <v>8907</v>
      </c>
      <c r="I30" s="3">
        <v>688</v>
      </c>
      <c r="J30" s="5">
        <f t="shared" si="0"/>
        <v>7.6724954776466528E-2</v>
      </c>
      <c r="K30" s="5">
        <v>9.9666666666666667E-2</v>
      </c>
      <c r="L30" s="5">
        <v>0.3960377358490566</v>
      </c>
      <c r="M30" s="5">
        <v>0.99624999999999997</v>
      </c>
      <c r="N30" s="3">
        <v>268</v>
      </c>
    </row>
    <row r="31" spans="1:14" x14ac:dyDescent="0.25">
      <c r="A31" s="2" t="s">
        <v>68</v>
      </c>
      <c r="B31" s="2" t="s">
        <v>69</v>
      </c>
      <c r="C31" s="3">
        <v>209</v>
      </c>
      <c r="D31" s="4">
        <v>264099</v>
      </c>
      <c r="E31" s="3">
        <v>28</v>
      </c>
      <c r="F31" s="4">
        <v>35929</v>
      </c>
      <c r="G31" s="3">
        <v>154035</v>
      </c>
      <c r="H31" s="3">
        <v>10262</v>
      </c>
      <c r="I31" s="3">
        <v>800</v>
      </c>
      <c r="J31" s="5">
        <f t="shared" si="0"/>
        <v>6.662122244944331E-2</v>
      </c>
      <c r="K31" s="5">
        <v>9.3092783505154653E-2</v>
      </c>
      <c r="L31" s="5">
        <v>0.43463768115942031</v>
      </c>
      <c r="M31" s="5">
        <v>1</v>
      </c>
      <c r="N31" s="3">
        <v>276</v>
      </c>
    </row>
    <row r="32" spans="1:14" x14ac:dyDescent="0.25">
      <c r="A32" s="2" t="s">
        <v>68</v>
      </c>
      <c r="B32" s="2" t="s">
        <v>70</v>
      </c>
      <c r="C32" s="3">
        <v>203</v>
      </c>
      <c r="D32" s="4">
        <v>246278</v>
      </c>
      <c r="E32" s="3">
        <v>0</v>
      </c>
      <c r="F32" s="4">
        <v>0</v>
      </c>
      <c r="G32" s="3">
        <v>0</v>
      </c>
      <c r="H32" s="3">
        <v>9530</v>
      </c>
      <c r="I32" s="3">
        <v>802</v>
      </c>
      <c r="J32" s="5">
        <f t="shared" si="0"/>
        <v>0</v>
      </c>
      <c r="K32" s="5">
        <v>9.4574468085106389E-2</v>
      </c>
      <c r="L32" s="5">
        <v>0.46822580645161288</v>
      </c>
      <c r="M32" s="5">
        <v>0</v>
      </c>
      <c r="N32" s="3">
        <v>264</v>
      </c>
    </row>
  </sheetData>
  <conditionalFormatting sqref="C3:C32">
    <cfRule type="expression" dxfId="5" priority="1">
      <formula>C3&gt;C2</formula>
    </cfRule>
    <cfRule type="expression" dxfId="4" priority="2">
      <formula>C3&lt;C2</formula>
    </cfRule>
  </conditionalFormatting>
  <conditionalFormatting sqref="G3:G32">
    <cfRule type="expression" dxfId="3" priority="3">
      <formula>G3&gt;G2</formula>
    </cfRule>
    <cfRule type="expression" dxfId="2" priority="4">
      <formula>G3&lt;G2</formula>
    </cfRule>
  </conditionalFormatting>
  <conditionalFormatting sqref="I3:L32">
    <cfRule type="expression" dxfId="1" priority="5">
      <formula>I3&gt;I2</formula>
    </cfRule>
    <cfRule type="expression" dxfId="0" priority="6">
      <formula>I3&lt;I2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Дмитриевич Дергачев</cp:lastModifiedBy>
  <dcterms:created xsi:type="dcterms:W3CDTF">2026-03-26T04:45:58Z</dcterms:created>
  <dcterms:modified xsi:type="dcterms:W3CDTF">2026-03-26T05:06:06Z</dcterms:modified>
</cp:coreProperties>
</file>