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gacevad\Folder\TEMP\"/>
    </mc:Choice>
  </mc:AlternateContent>
  <xr:revisionPtr revIDLastSave="0" documentId="13_ncr:1_{2A4EEE13-C7FF-453F-BC95-9C22B09301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Sheet1!$A$1:$N$118</definedName>
  </definedNames>
  <calcPr calcId="18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2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3" i="1"/>
  <c r="M4" i="1"/>
  <c r="M5" i="1"/>
  <c r="M6" i="1"/>
  <c r="M7" i="1"/>
  <c r="M8" i="1"/>
  <c r="M9" i="1"/>
  <c r="M10" i="1"/>
  <c r="M11" i="1"/>
  <c r="M2" i="1"/>
  <c r="G3" i="1"/>
  <c r="H3" i="1"/>
  <c r="I3" i="1"/>
  <c r="J3" i="1"/>
  <c r="K3" i="1"/>
  <c r="L3" i="1"/>
  <c r="G4" i="1"/>
  <c r="H4" i="1"/>
  <c r="I4" i="1"/>
  <c r="J4" i="1"/>
  <c r="K4" i="1"/>
  <c r="L4" i="1"/>
  <c r="G5" i="1"/>
  <c r="H5" i="1"/>
  <c r="I5" i="1"/>
  <c r="J5" i="1"/>
  <c r="K5" i="1"/>
  <c r="L5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G10" i="1"/>
  <c r="H10" i="1"/>
  <c r="I10" i="1"/>
  <c r="J10" i="1"/>
  <c r="K10" i="1"/>
  <c r="L10" i="1"/>
  <c r="G11" i="1"/>
  <c r="H11" i="1"/>
  <c r="I11" i="1"/>
  <c r="J11" i="1"/>
  <c r="K11" i="1"/>
  <c r="L11" i="1"/>
  <c r="G12" i="1"/>
  <c r="H12" i="1"/>
  <c r="I12" i="1"/>
  <c r="J12" i="1"/>
  <c r="K12" i="1"/>
  <c r="L12" i="1"/>
  <c r="G13" i="1"/>
  <c r="H13" i="1"/>
  <c r="I13" i="1"/>
  <c r="J13" i="1"/>
  <c r="K13" i="1"/>
  <c r="L13" i="1"/>
  <c r="G14" i="1"/>
  <c r="H14" i="1"/>
  <c r="I14" i="1"/>
  <c r="J14" i="1"/>
  <c r="K14" i="1"/>
  <c r="L14" i="1"/>
  <c r="G15" i="1"/>
  <c r="H15" i="1"/>
  <c r="I15" i="1"/>
  <c r="J15" i="1"/>
  <c r="K15" i="1"/>
  <c r="L15" i="1"/>
  <c r="G16" i="1"/>
  <c r="H16" i="1"/>
  <c r="I16" i="1"/>
  <c r="J16" i="1"/>
  <c r="K16" i="1"/>
  <c r="L16" i="1"/>
  <c r="G17" i="1"/>
  <c r="H17" i="1"/>
  <c r="I17" i="1"/>
  <c r="J17" i="1"/>
  <c r="K17" i="1"/>
  <c r="L17" i="1"/>
  <c r="G18" i="1"/>
  <c r="H18" i="1"/>
  <c r="I18" i="1"/>
  <c r="J18" i="1"/>
  <c r="K18" i="1"/>
  <c r="L18" i="1"/>
  <c r="G19" i="1"/>
  <c r="H19" i="1"/>
  <c r="I19" i="1"/>
  <c r="J19" i="1"/>
  <c r="K19" i="1"/>
  <c r="L19" i="1"/>
  <c r="G20" i="1"/>
  <c r="H20" i="1"/>
  <c r="I20" i="1"/>
  <c r="J20" i="1"/>
  <c r="K20" i="1"/>
  <c r="L20" i="1"/>
  <c r="G21" i="1"/>
  <c r="H21" i="1"/>
  <c r="I21" i="1"/>
  <c r="J21" i="1"/>
  <c r="K21" i="1"/>
  <c r="L21" i="1"/>
  <c r="G22" i="1"/>
  <c r="H22" i="1"/>
  <c r="I22" i="1"/>
  <c r="J22" i="1"/>
  <c r="K22" i="1"/>
  <c r="L22" i="1"/>
  <c r="G23" i="1"/>
  <c r="H23" i="1"/>
  <c r="I23" i="1"/>
  <c r="J23" i="1"/>
  <c r="K23" i="1"/>
  <c r="L23" i="1"/>
  <c r="G24" i="1"/>
  <c r="H24" i="1"/>
  <c r="I24" i="1"/>
  <c r="J24" i="1"/>
  <c r="K24" i="1"/>
  <c r="L24" i="1"/>
  <c r="G25" i="1"/>
  <c r="H25" i="1"/>
  <c r="I25" i="1"/>
  <c r="J25" i="1"/>
  <c r="K25" i="1"/>
  <c r="L25" i="1"/>
  <c r="G26" i="1"/>
  <c r="H26" i="1"/>
  <c r="I26" i="1"/>
  <c r="J26" i="1"/>
  <c r="K26" i="1"/>
  <c r="L26" i="1"/>
  <c r="G27" i="1"/>
  <c r="H27" i="1"/>
  <c r="I27" i="1"/>
  <c r="J27" i="1"/>
  <c r="K27" i="1"/>
  <c r="L27" i="1"/>
  <c r="G28" i="1"/>
  <c r="H28" i="1"/>
  <c r="I28" i="1"/>
  <c r="J28" i="1"/>
  <c r="K28" i="1"/>
  <c r="L28" i="1"/>
  <c r="G29" i="1"/>
  <c r="H29" i="1"/>
  <c r="I29" i="1"/>
  <c r="J29" i="1"/>
  <c r="K29" i="1"/>
  <c r="L29" i="1"/>
  <c r="G30" i="1"/>
  <c r="H30" i="1"/>
  <c r="I30" i="1"/>
  <c r="J30" i="1"/>
  <c r="K30" i="1"/>
  <c r="L30" i="1"/>
  <c r="G31" i="1"/>
  <c r="H31" i="1"/>
  <c r="I31" i="1"/>
  <c r="J31" i="1"/>
  <c r="K31" i="1"/>
  <c r="L31" i="1"/>
  <c r="G32" i="1"/>
  <c r="H32" i="1"/>
  <c r="I32" i="1"/>
  <c r="J32" i="1"/>
  <c r="K32" i="1"/>
  <c r="L32" i="1"/>
  <c r="G33" i="1"/>
  <c r="H33" i="1"/>
  <c r="I33" i="1"/>
  <c r="J33" i="1"/>
  <c r="K33" i="1"/>
  <c r="L33" i="1"/>
  <c r="G34" i="1"/>
  <c r="H34" i="1"/>
  <c r="I34" i="1"/>
  <c r="J34" i="1"/>
  <c r="K34" i="1"/>
  <c r="L34" i="1"/>
  <c r="G35" i="1"/>
  <c r="H35" i="1"/>
  <c r="I35" i="1"/>
  <c r="J35" i="1"/>
  <c r="K35" i="1"/>
  <c r="L35" i="1"/>
  <c r="G36" i="1"/>
  <c r="H36" i="1"/>
  <c r="I36" i="1"/>
  <c r="J36" i="1"/>
  <c r="K36" i="1"/>
  <c r="L36" i="1"/>
  <c r="G37" i="1"/>
  <c r="H37" i="1"/>
  <c r="I37" i="1"/>
  <c r="J37" i="1"/>
  <c r="K37" i="1"/>
  <c r="L37" i="1"/>
  <c r="G38" i="1"/>
  <c r="H38" i="1"/>
  <c r="I38" i="1"/>
  <c r="J38" i="1"/>
  <c r="K38" i="1"/>
  <c r="L38" i="1"/>
  <c r="G39" i="1"/>
  <c r="H39" i="1"/>
  <c r="I39" i="1"/>
  <c r="J39" i="1"/>
  <c r="K39" i="1"/>
  <c r="L39" i="1"/>
  <c r="G40" i="1"/>
  <c r="H40" i="1"/>
  <c r="I40" i="1"/>
  <c r="J40" i="1"/>
  <c r="K40" i="1"/>
  <c r="L40" i="1"/>
  <c r="G41" i="1"/>
  <c r="H41" i="1"/>
  <c r="I41" i="1"/>
  <c r="J41" i="1"/>
  <c r="K41" i="1"/>
  <c r="L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G45" i="1"/>
  <c r="H45" i="1"/>
  <c r="I45" i="1"/>
  <c r="J45" i="1"/>
  <c r="K45" i="1"/>
  <c r="L45" i="1"/>
  <c r="G46" i="1"/>
  <c r="H46" i="1"/>
  <c r="I46" i="1"/>
  <c r="J46" i="1"/>
  <c r="K46" i="1"/>
  <c r="L46" i="1"/>
  <c r="G47" i="1"/>
  <c r="H47" i="1"/>
  <c r="I47" i="1"/>
  <c r="J47" i="1"/>
  <c r="K47" i="1"/>
  <c r="L47" i="1"/>
  <c r="G48" i="1"/>
  <c r="H48" i="1"/>
  <c r="I48" i="1"/>
  <c r="J48" i="1"/>
  <c r="K48" i="1"/>
  <c r="L48" i="1"/>
  <c r="G49" i="1"/>
  <c r="H49" i="1"/>
  <c r="I49" i="1"/>
  <c r="J49" i="1"/>
  <c r="K49" i="1"/>
  <c r="L49" i="1"/>
  <c r="G50" i="1"/>
  <c r="H50" i="1"/>
  <c r="I50" i="1"/>
  <c r="J50" i="1"/>
  <c r="K50" i="1"/>
  <c r="L50" i="1"/>
  <c r="G51" i="1"/>
  <c r="H51" i="1"/>
  <c r="I51" i="1"/>
  <c r="J51" i="1"/>
  <c r="K51" i="1"/>
  <c r="L51" i="1"/>
  <c r="G52" i="1"/>
  <c r="H52" i="1"/>
  <c r="I52" i="1"/>
  <c r="J52" i="1"/>
  <c r="K52" i="1"/>
  <c r="L52" i="1"/>
  <c r="G53" i="1"/>
  <c r="H53" i="1"/>
  <c r="I53" i="1"/>
  <c r="J53" i="1"/>
  <c r="K53" i="1"/>
  <c r="L53" i="1"/>
  <c r="G54" i="1"/>
  <c r="H54" i="1"/>
  <c r="I54" i="1"/>
  <c r="J54" i="1"/>
  <c r="K54" i="1"/>
  <c r="L54" i="1"/>
  <c r="G55" i="1"/>
  <c r="H55" i="1"/>
  <c r="I55" i="1"/>
  <c r="J55" i="1"/>
  <c r="K55" i="1"/>
  <c r="L55" i="1"/>
  <c r="G56" i="1"/>
  <c r="H56" i="1"/>
  <c r="I56" i="1"/>
  <c r="J56" i="1"/>
  <c r="K56" i="1"/>
  <c r="L56" i="1"/>
  <c r="G57" i="1"/>
  <c r="H57" i="1"/>
  <c r="I57" i="1"/>
  <c r="J57" i="1"/>
  <c r="K57" i="1"/>
  <c r="L57" i="1"/>
  <c r="G58" i="1"/>
  <c r="H58" i="1"/>
  <c r="I58" i="1"/>
  <c r="J58" i="1"/>
  <c r="K58" i="1"/>
  <c r="L58" i="1"/>
  <c r="G59" i="1"/>
  <c r="H59" i="1"/>
  <c r="I59" i="1"/>
  <c r="J59" i="1"/>
  <c r="K59" i="1"/>
  <c r="L59" i="1"/>
  <c r="G60" i="1"/>
  <c r="H60" i="1"/>
  <c r="I60" i="1"/>
  <c r="J60" i="1"/>
  <c r="K60" i="1"/>
  <c r="L60" i="1"/>
  <c r="G61" i="1"/>
  <c r="H61" i="1"/>
  <c r="I61" i="1"/>
  <c r="J61" i="1"/>
  <c r="K61" i="1"/>
  <c r="L61" i="1"/>
  <c r="G62" i="1"/>
  <c r="H62" i="1"/>
  <c r="I62" i="1"/>
  <c r="J62" i="1"/>
  <c r="K62" i="1"/>
  <c r="L62" i="1"/>
  <c r="G63" i="1"/>
  <c r="H63" i="1"/>
  <c r="I63" i="1"/>
  <c r="J63" i="1"/>
  <c r="K63" i="1"/>
  <c r="L63" i="1"/>
  <c r="G64" i="1"/>
  <c r="H64" i="1"/>
  <c r="I64" i="1"/>
  <c r="J64" i="1"/>
  <c r="K64" i="1"/>
  <c r="L64" i="1"/>
  <c r="G65" i="1"/>
  <c r="H65" i="1"/>
  <c r="I65" i="1"/>
  <c r="J65" i="1"/>
  <c r="K65" i="1"/>
  <c r="L65" i="1"/>
  <c r="G66" i="1"/>
  <c r="H66" i="1"/>
  <c r="I66" i="1"/>
  <c r="J66" i="1"/>
  <c r="K66" i="1"/>
  <c r="L66" i="1"/>
  <c r="G67" i="1"/>
  <c r="H67" i="1"/>
  <c r="I67" i="1"/>
  <c r="J67" i="1"/>
  <c r="K67" i="1"/>
  <c r="L67" i="1"/>
  <c r="G68" i="1"/>
  <c r="H68" i="1"/>
  <c r="I68" i="1"/>
  <c r="J68" i="1"/>
  <c r="K68" i="1"/>
  <c r="L68" i="1"/>
  <c r="G69" i="1"/>
  <c r="H69" i="1"/>
  <c r="I69" i="1"/>
  <c r="J69" i="1"/>
  <c r="K69" i="1"/>
  <c r="L69" i="1"/>
  <c r="G70" i="1"/>
  <c r="H70" i="1"/>
  <c r="I70" i="1"/>
  <c r="J70" i="1"/>
  <c r="K70" i="1"/>
  <c r="L70" i="1"/>
  <c r="G71" i="1"/>
  <c r="H71" i="1"/>
  <c r="I71" i="1"/>
  <c r="J71" i="1"/>
  <c r="K71" i="1"/>
  <c r="L71" i="1"/>
  <c r="G72" i="1"/>
  <c r="H72" i="1"/>
  <c r="I72" i="1"/>
  <c r="J72" i="1"/>
  <c r="K72" i="1"/>
  <c r="L72" i="1"/>
  <c r="G73" i="1"/>
  <c r="H73" i="1"/>
  <c r="I73" i="1"/>
  <c r="J73" i="1"/>
  <c r="K73" i="1"/>
  <c r="L73" i="1"/>
  <c r="G74" i="1"/>
  <c r="H74" i="1"/>
  <c r="I74" i="1"/>
  <c r="J74" i="1"/>
  <c r="K74" i="1"/>
  <c r="L74" i="1"/>
  <c r="G75" i="1"/>
  <c r="H75" i="1"/>
  <c r="I75" i="1"/>
  <c r="J75" i="1"/>
  <c r="K75" i="1"/>
  <c r="L75" i="1"/>
  <c r="G76" i="1"/>
  <c r="H76" i="1"/>
  <c r="I76" i="1"/>
  <c r="J76" i="1"/>
  <c r="K76" i="1"/>
  <c r="L76" i="1"/>
  <c r="G77" i="1"/>
  <c r="H77" i="1"/>
  <c r="I77" i="1"/>
  <c r="J77" i="1"/>
  <c r="K77" i="1"/>
  <c r="L77" i="1"/>
  <c r="G78" i="1"/>
  <c r="H78" i="1"/>
  <c r="I78" i="1"/>
  <c r="J78" i="1"/>
  <c r="K78" i="1"/>
  <c r="L78" i="1"/>
  <c r="G79" i="1"/>
  <c r="H79" i="1"/>
  <c r="I79" i="1"/>
  <c r="J79" i="1"/>
  <c r="K79" i="1"/>
  <c r="L79" i="1"/>
  <c r="G80" i="1"/>
  <c r="H80" i="1"/>
  <c r="I80" i="1"/>
  <c r="J80" i="1"/>
  <c r="K80" i="1"/>
  <c r="L80" i="1"/>
  <c r="G81" i="1"/>
  <c r="H81" i="1"/>
  <c r="I81" i="1"/>
  <c r="J81" i="1"/>
  <c r="K81" i="1"/>
  <c r="L81" i="1"/>
  <c r="G82" i="1"/>
  <c r="H82" i="1"/>
  <c r="I82" i="1"/>
  <c r="J82" i="1"/>
  <c r="K82" i="1"/>
  <c r="L82" i="1"/>
  <c r="G83" i="1"/>
  <c r="H83" i="1"/>
  <c r="I83" i="1"/>
  <c r="J83" i="1"/>
  <c r="K83" i="1"/>
  <c r="L83" i="1"/>
  <c r="G84" i="1"/>
  <c r="H84" i="1"/>
  <c r="I84" i="1"/>
  <c r="J84" i="1"/>
  <c r="K84" i="1"/>
  <c r="L84" i="1"/>
  <c r="G85" i="1"/>
  <c r="H85" i="1"/>
  <c r="I85" i="1"/>
  <c r="J85" i="1"/>
  <c r="K85" i="1"/>
  <c r="L85" i="1"/>
  <c r="G86" i="1"/>
  <c r="H86" i="1"/>
  <c r="I86" i="1"/>
  <c r="J86" i="1"/>
  <c r="K86" i="1"/>
  <c r="L86" i="1"/>
  <c r="G87" i="1"/>
  <c r="H87" i="1"/>
  <c r="I87" i="1"/>
  <c r="J87" i="1"/>
  <c r="K87" i="1"/>
  <c r="L87" i="1"/>
  <c r="G88" i="1"/>
  <c r="H88" i="1"/>
  <c r="I88" i="1"/>
  <c r="J88" i="1"/>
  <c r="K88" i="1"/>
  <c r="L88" i="1"/>
  <c r="G89" i="1"/>
  <c r="H89" i="1"/>
  <c r="I89" i="1"/>
  <c r="J89" i="1"/>
  <c r="K89" i="1"/>
  <c r="L89" i="1"/>
  <c r="G90" i="1"/>
  <c r="H90" i="1"/>
  <c r="I90" i="1"/>
  <c r="J90" i="1"/>
  <c r="K90" i="1"/>
  <c r="L90" i="1"/>
  <c r="G91" i="1"/>
  <c r="H91" i="1"/>
  <c r="I91" i="1"/>
  <c r="J91" i="1"/>
  <c r="K91" i="1"/>
  <c r="L91" i="1"/>
  <c r="G92" i="1"/>
  <c r="H92" i="1"/>
  <c r="I92" i="1"/>
  <c r="J92" i="1"/>
  <c r="K92" i="1"/>
  <c r="L92" i="1"/>
  <c r="G93" i="1"/>
  <c r="H93" i="1"/>
  <c r="I93" i="1"/>
  <c r="J93" i="1"/>
  <c r="K93" i="1"/>
  <c r="L93" i="1"/>
  <c r="G94" i="1"/>
  <c r="H94" i="1"/>
  <c r="I94" i="1"/>
  <c r="J94" i="1"/>
  <c r="K94" i="1"/>
  <c r="L94" i="1"/>
  <c r="G95" i="1"/>
  <c r="H95" i="1"/>
  <c r="I95" i="1"/>
  <c r="J95" i="1"/>
  <c r="K95" i="1"/>
  <c r="L95" i="1"/>
  <c r="G96" i="1"/>
  <c r="H96" i="1"/>
  <c r="I96" i="1"/>
  <c r="J96" i="1"/>
  <c r="K96" i="1"/>
  <c r="L96" i="1"/>
  <c r="G98" i="1"/>
  <c r="H98" i="1"/>
  <c r="I98" i="1"/>
  <c r="J98" i="1"/>
  <c r="K98" i="1"/>
  <c r="L98" i="1"/>
  <c r="G99" i="1"/>
  <c r="H99" i="1"/>
  <c r="I99" i="1"/>
  <c r="J99" i="1"/>
  <c r="K99" i="1"/>
  <c r="L99" i="1"/>
  <c r="G100" i="1"/>
  <c r="H100" i="1"/>
  <c r="I100" i="1"/>
  <c r="J100" i="1"/>
  <c r="K100" i="1"/>
  <c r="L100" i="1"/>
  <c r="G101" i="1"/>
  <c r="H101" i="1"/>
  <c r="I101" i="1"/>
  <c r="J101" i="1"/>
  <c r="K101" i="1"/>
  <c r="L101" i="1"/>
  <c r="G102" i="1"/>
  <c r="H102" i="1"/>
  <c r="I102" i="1"/>
  <c r="J102" i="1"/>
  <c r="K102" i="1"/>
  <c r="L102" i="1"/>
  <c r="G103" i="1"/>
  <c r="H103" i="1"/>
  <c r="I103" i="1"/>
  <c r="J103" i="1"/>
  <c r="K103" i="1"/>
  <c r="L103" i="1"/>
  <c r="G104" i="1"/>
  <c r="H104" i="1"/>
  <c r="I104" i="1"/>
  <c r="J104" i="1"/>
  <c r="K104" i="1"/>
  <c r="L104" i="1"/>
  <c r="G105" i="1"/>
  <c r="H105" i="1"/>
  <c r="I105" i="1"/>
  <c r="J105" i="1"/>
  <c r="K105" i="1"/>
  <c r="L105" i="1"/>
  <c r="G106" i="1"/>
  <c r="H106" i="1"/>
  <c r="I106" i="1"/>
  <c r="J106" i="1"/>
  <c r="K106" i="1"/>
  <c r="L106" i="1"/>
  <c r="G107" i="1"/>
  <c r="H107" i="1"/>
  <c r="I107" i="1"/>
  <c r="J107" i="1"/>
  <c r="K107" i="1"/>
  <c r="L107" i="1"/>
  <c r="G108" i="1"/>
  <c r="H108" i="1"/>
  <c r="I108" i="1"/>
  <c r="J108" i="1"/>
  <c r="K108" i="1"/>
  <c r="L108" i="1"/>
  <c r="G109" i="1"/>
  <c r="H109" i="1"/>
  <c r="I109" i="1"/>
  <c r="J109" i="1"/>
  <c r="K109" i="1"/>
  <c r="L109" i="1"/>
  <c r="G110" i="1"/>
  <c r="H110" i="1"/>
  <c r="I110" i="1"/>
  <c r="J110" i="1"/>
  <c r="K110" i="1"/>
  <c r="L110" i="1"/>
  <c r="G111" i="1"/>
  <c r="H111" i="1"/>
  <c r="I111" i="1"/>
  <c r="J111" i="1"/>
  <c r="K111" i="1"/>
  <c r="L111" i="1"/>
  <c r="G112" i="1"/>
  <c r="H112" i="1"/>
  <c r="I112" i="1"/>
  <c r="J112" i="1"/>
  <c r="K112" i="1"/>
  <c r="L112" i="1"/>
  <c r="G113" i="1"/>
  <c r="H113" i="1"/>
  <c r="I113" i="1"/>
  <c r="J113" i="1"/>
  <c r="K113" i="1"/>
  <c r="L113" i="1"/>
  <c r="G114" i="1"/>
  <c r="H114" i="1"/>
  <c r="I114" i="1"/>
  <c r="J114" i="1"/>
  <c r="K114" i="1"/>
  <c r="L114" i="1"/>
  <c r="G115" i="1"/>
  <c r="H115" i="1"/>
  <c r="I115" i="1"/>
  <c r="J115" i="1"/>
  <c r="K115" i="1"/>
  <c r="L115" i="1"/>
  <c r="G116" i="1"/>
  <c r="H116" i="1"/>
  <c r="I116" i="1"/>
  <c r="J116" i="1"/>
  <c r="K116" i="1"/>
  <c r="L116" i="1"/>
  <c r="G117" i="1"/>
  <c r="H117" i="1"/>
  <c r="I117" i="1"/>
  <c r="J117" i="1"/>
  <c r="K117" i="1"/>
  <c r="L117" i="1"/>
  <c r="G118" i="1"/>
  <c r="H118" i="1"/>
  <c r="I118" i="1"/>
  <c r="J118" i="1"/>
  <c r="K118" i="1"/>
  <c r="L118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<sst xmlns="http://schemas.openxmlformats.org/spreadsheetml/2006/main" count="591" uniqueCount="372">
  <si>
    <t>brand</t>
  </si>
  <si>
    <t>subjectName</t>
  </si>
  <si>
    <t>nmID</t>
  </si>
  <si>
    <t>vendorCode</t>
  </si>
  <si>
    <t>title</t>
  </si>
  <si>
    <t>skus</t>
  </si>
  <si>
    <t>PARFUMS CONSTANTINE</t>
  </si>
  <si>
    <t>Парфюмерные наборы</t>
  </si>
  <si>
    <t>Туалетная вода</t>
  </si>
  <si>
    <t>Духи</t>
  </si>
  <si>
    <t>Гели</t>
  </si>
  <si>
    <t>BOHEMIAS000004</t>
  </si>
  <si>
    <t>BOHEMIAS000010</t>
  </si>
  <si>
    <t>BOHEMIAS000006</t>
  </si>
  <si>
    <t>BOHEMIAS000005</t>
  </si>
  <si>
    <t>BOHEMIAS000003</t>
  </si>
  <si>
    <t>BOHEMIAS000007</t>
  </si>
  <si>
    <t>GALVANOL000011</t>
  </si>
  <si>
    <t>GALVANOL000008</t>
  </si>
  <si>
    <t>GALVANOL000006</t>
  </si>
  <si>
    <t>GALVANOL000009</t>
  </si>
  <si>
    <t>GALVANOL000010</t>
  </si>
  <si>
    <t>GALVANOL000007</t>
  </si>
  <si>
    <t>INTERSHL000002</t>
  </si>
  <si>
    <t>INTERSHL000006</t>
  </si>
  <si>
    <t>INTERSHL000001</t>
  </si>
  <si>
    <t>INTERSHL000009</t>
  </si>
  <si>
    <t>BOHEMIA000009</t>
  </si>
  <si>
    <t>PARFCONS000003</t>
  </si>
  <si>
    <t>PARFCONS000001</t>
  </si>
  <si>
    <t>INTERSHL000005</t>
  </si>
  <si>
    <t>INTERSHL000004</t>
  </si>
  <si>
    <t>PCG000002</t>
  </si>
  <si>
    <t>PCG000001</t>
  </si>
  <si>
    <t>PCG000007</t>
  </si>
  <si>
    <t>PCG000006</t>
  </si>
  <si>
    <t>PCG000005</t>
  </si>
  <si>
    <t>PCG000004</t>
  </si>
  <si>
    <t>PCG000003</t>
  </si>
  <si>
    <t>GALVANOL000005</t>
  </si>
  <si>
    <t>GALVANOL000004</t>
  </si>
  <si>
    <t>GALVANOL000002</t>
  </si>
  <si>
    <t>GALVANOL000003</t>
  </si>
  <si>
    <t>GALVANOL000024</t>
  </si>
  <si>
    <t>GALVANOL000001</t>
  </si>
  <si>
    <t>BOHEMIA000013</t>
  </si>
  <si>
    <t>BOHEMIA000010</t>
  </si>
  <si>
    <t>BOHEMIA000011</t>
  </si>
  <si>
    <t>BOHEMIA000007</t>
  </si>
  <si>
    <t>BOHEMIA000012</t>
  </si>
  <si>
    <t>BOHEMIA000006</t>
  </si>
  <si>
    <t>BOHEMIAB0000020</t>
  </si>
  <si>
    <t>BOHEMIAB0000010</t>
  </si>
  <si>
    <t>BOHEMIAB0000040</t>
  </si>
  <si>
    <t>BOHEMIAB0000030</t>
  </si>
  <si>
    <t>BOHEMIA000001</t>
  </si>
  <si>
    <t>BOHEMIA000005</t>
  </si>
  <si>
    <t>BOHEMIA000004</t>
  </si>
  <si>
    <t>BOHEMIA000002</t>
  </si>
  <si>
    <t>BOHEMIA000008</t>
  </si>
  <si>
    <t>SELECTIV000006</t>
  </si>
  <si>
    <t>SELECTIV000016</t>
  </si>
  <si>
    <t>SELECTIV000002</t>
  </si>
  <si>
    <t>SELECTIV000003</t>
  </si>
  <si>
    <t>SELECTIV000005</t>
  </si>
  <si>
    <t>SELECTIV000001</t>
  </si>
  <si>
    <t>SELECTIV000004</t>
  </si>
  <si>
    <t>SELECTIV000017</t>
  </si>
  <si>
    <t>SELECTIV000013</t>
  </si>
  <si>
    <t>SELECTIV000015</t>
  </si>
  <si>
    <t>SELECTIV000014</t>
  </si>
  <si>
    <t>PCLM000010</t>
  </si>
  <si>
    <t>PCLM000006</t>
  </si>
  <si>
    <t>PCLM000004</t>
  </si>
  <si>
    <t>PCLM000007</t>
  </si>
  <si>
    <t>PCLM000002</t>
  </si>
  <si>
    <t>PCLM000008</t>
  </si>
  <si>
    <t>PCLM000009</t>
  </si>
  <si>
    <t>PCLM000001</t>
  </si>
  <si>
    <t>NYMEN0000060</t>
  </si>
  <si>
    <t>NYMEN000004</t>
  </si>
  <si>
    <t>NYMEN000016</t>
  </si>
  <si>
    <t>NYMEN0000010</t>
  </si>
  <si>
    <t>NYMEN0000070</t>
  </si>
  <si>
    <t>NYMEN000003</t>
  </si>
  <si>
    <t>NYMEN000005</t>
  </si>
  <si>
    <t>NYMEN0000020</t>
  </si>
  <si>
    <t>ELOR62286</t>
  </si>
  <si>
    <t>ELOR62330</t>
  </si>
  <si>
    <t>ELOR62309</t>
  </si>
  <si>
    <t>ELOR62293</t>
  </si>
  <si>
    <t>ELOR62354</t>
  </si>
  <si>
    <t>ELOR62316</t>
  </si>
  <si>
    <t>ELOR62385</t>
  </si>
  <si>
    <t>ELOR62392</t>
  </si>
  <si>
    <t>ELOR62361</t>
  </si>
  <si>
    <t>ELOR62347</t>
  </si>
  <si>
    <t>ELOR62378</t>
  </si>
  <si>
    <t>ELOR62323</t>
  </si>
  <si>
    <t>PCM000005</t>
  </si>
  <si>
    <t>PCM000002</t>
  </si>
  <si>
    <t>PCM000006</t>
  </si>
  <si>
    <t>PCM000003</t>
  </si>
  <si>
    <t>PCM000007</t>
  </si>
  <si>
    <t>PCM000001</t>
  </si>
  <si>
    <t>PCM000004</t>
  </si>
  <si>
    <t>PARFCONS000002</t>
  </si>
  <si>
    <t>INTERSHL000012</t>
  </si>
  <si>
    <t>INTERSHL000011</t>
  </si>
  <si>
    <t>INTERSHL000010</t>
  </si>
  <si>
    <t>INTERSHL000008</t>
  </si>
  <si>
    <t>INTERSHL000007</t>
  </si>
  <si>
    <t>BOHEMIAB000006</t>
  </si>
  <si>
    <t>BOHEMIAS000001</t>
  </si>
  <si>
    <t>PCMINI000001</t>
  </si>
  <si>
    <t>BOHEMIAS000002</t>
  </si>
  <si>
    <t>BOHEMIAC000001</t>
  </si>
  <si>
    <t>PCLM000011</t>
  </si>
  <si>
    <t>PCMINI000003</t>
  </si>
  <si>
    <t>PCMINI000002</t>
  </si>
  <si>
    <t>PCUHOD000001</t>
  </si>
  <si>
    <t>PCUHOD000009</t>
  </si>
  <si>
    <t>PCUHOD000002</t>
  </si>
  <si>
    <t>PCUHOD000005</t>
  </si>
  <si>
    <t>PCUHOD000004</t>
  </si>
  <si>
    <t>PCUHOD000003</t>
  </si>
  <si>
    <t>PCUHOD000006</t>
  </si>
  <si>
    <t>PCUHOD000007</t>
  </si>
  <si>
    <t>Лимитированный подарочный набор для женщин BOHEMIA MIDNIGHT</t>
  </si>
  <si>
    <t>Лимитированный подарочный набор для женщин BOHEMIA MAGNIFICENCE</t>
  </si>
  <si>
    <t>Лимитированный подарочный набор для женщин BOHEMIA NIGHT DREAMS</t>
  </si>
  <si>
    <t>Лимитированный подарочный набор для женщин BOHEMIA MOONSTONE</t>
  </si>
  <si>
    <t>Лимитированный подарочный набор для женщин BOHEMIA IN BLACK</t>
  </si>
  <si>
    <t>Лимитированный подарочный набор для женщин BOHEMIA EXCELSIOR</t>
  </si>
  <si>
    <t>Туалетная вода мужская Galvanoliori CEDAR WOOD, 100 мл</t>
  </si>
  <si>
    <t>Туалетная вода мужская Galvanoliori LIGHT MOSS, 100 мл</t>
  </si>
  <si>
    <t>Туалетная вода мужская Galvanoliori DEEP OCEAN, 100 мл</t>
  </si>
  <si>
    <t>Туалетная вода мужская Galvanoliori SPACE BLUE, 100 мл</t>
  </si>
  <si>
    <t>Туалетная вода мужская Galvanoliori AQUA SKY, 100 мл</t>
  </si>
  <si>
    <t>Туалетная вода мужская Galvanoliori ULTIMATE GREY, 100 мл</t>
  </si>
  <si>
    <t>Духи мужские стойкие древесные Gentleman 2, 100 мл</t>
  </si>
  <si>
    <t>Духи мужские фужерные стойкие Gentleman 5, 100 мл</t>
  </si>
  <si>
    <t>Духи мужские стойкие древесные Gentleman 1, 100 мл</t>
  </si>
  <si>
    <t>Духи женские императрица со шлейфом Mademoiselle 3, 50 мл</t>
  </si>
  <si>
    <t>Духи женские стойкие восточные BOHEMIA FORBIDDEN LOVE, 50 мл</t>
  </si>
  <si>
    <t>Духи мужские стойкие шипровые Gentleman 7, 100 мл</t>
  </si>
  <si>
    <t>Духи мужские цветочные стойкие Gentleman 3, 100 мл</t>
  </si>
  <si>
    <t>Духи мужские древесные стойкие Gentleman 6, 100 мл</t>
  </si>
  <si>
    <t>Духи мужские цитрусовые стойкие Gentleman 4, 100 мл</t>
  </si>
  <si>
    <t>Духи мужские стойкие свежие Gentleman 12, 100 мл</t>
  </si>
  <si>
    <t>Духи мужские стойкие древесные Gentleman 14, 100 мл</t>
  </si>
  <si>
    <t>Духи мужские акватические стойкие Gentleman 11, 100 мл</t>
  </si>
  <si>
    <t>Духи мужские стойкие восточные Gentleman 17, 100 мл</t>
  </si>
  <si>
    <t>Духи мужские стойкие восточные Gentleman 16, 100 мл</t>
  </si>
  <si>
    <t>Духи мужские древесные стойкие Gentleman 15, 100 мл</t>
  </si>
  <si>
    <t>Духи мужские свежие стойкие Gentleman 13, 100 мл</t>
  </si>
  <si>
    <t>Духи сладкие Good Girl Galvanoliori GOLD TALISMAN, 50 мл</t>
  </si>
  <si>
    <t>Духи цветочные J'Adore Galvanoliori MAGNOLIA DIVINE, 50 мл</t>
  </si>
  <si>
    <t>Духи сладкие Imperatrice Galvanoliori PINK MARMELAD, 50 мл</t>
  </si>
  <si>
    <t>Духи зеленые цветочные Eclat Galvanoliori LILAC FLEUR, 50 мл</t>
  </si>
  <si>
    <t>Духи цветочные Narcotique Galvanoliori FLORAL WHITE, 50 мл</t>
  </si>
  <si>
    <t>Духи сладкие с вишней Cherry Galvanoliori CHERRY JEM, 50 мл</t>
  </si>
  <si>
    <t>Духи женские стойкие цветочные BOHEMIA AURORA, 50 мл</t>
  </si>
  <si>
    <t>Духи женские нежные цветочные BOHEMIA LA LUNA, 50 мл</t>
  </si>
  <si>
    <t>Духи женские цветочные стойкие BOHEMIA EMERALD, 50 мл</t>
  </si>
  <si>
    <t>Духи женские стойкие цитрусовые BOHEMIA SUN DROP, 50 мл</t>
  </si>
  <si>
    <t>Духи женские стойкие со шлейфом BOHEMIA ARGYLE VIOLET, 50 мл</t>
  </si>
  <si>
    <t>Духи женские фруктовые BOHEMIA HEART OF ETERNITY, 50мл</t>
  </si>
  <si>
    <t>Духи женские стойкие цветочные BOHEMIA MIDNIGHT, 50 мл</t>
  </si>
  <si>
    <t>Духи женские стойкие фруктовые BOHEMIA IN BLACK, 50 мл</t>
  </si>
  <si>
    <t>Духи женские табак ваниль BOHEMIA NIGHT DREAMS, 50 мл</t>
  </si>
  <si>
    <t>Духи женские стойкие цитрусовые BOHEMIA MOONSTONE, 50 мл</t>
  </si>
  <si>
    <t>Духи женские стойкие цветочные BOHEMIA EXCELSIOR, 50 мл</t>
  </si>
  <si>
    <t>Духи женские стойкие фруктовые BOHEMIA MAGNIFICENCE, 50 мл</t>
  </si>
  <si>
    <t>Духи женские сладкие цветочные BOHEMIA ILLUSION, 50 мл</t>
  </si>
  <si>
    <t>Духи женские стойкие свежие BOHEMIA ICE QUEEN, 50 мл</t>
  </si>
  <si>
    <t>Духи женские стойкие вишневые BOHEMIA CHERRY EXTASY, 50 мл</t>
  </si>
  <si>
    <t>Парфюмерная вода мужская SELECTIVE Smoky Leather, 60мл</t>
  </si>
  <si>
    <t>Парфюмерная вода для женщин SELECTIVE Wild Cherry, 50 мл</t>
  </si>
  <si>
    <t>Парфюмерная вода мужская SELECTIVE Spicy Tobacco, 60мл</t>
  </si>
  <si>
    <t>Парфюмерная вода мужская SELECTIVE Ice Essence, 60мл</t>
  </si>
  <si>
    <t>Парфюмерная вода мужская SELECTIVE Amber Wood, 60мл</t>
  </si>
  <si>
    <t>Парфюмерная вода мужская SELECTIVE Royal Chypre, 60мл</t>
  </si>
  <si>
    <t>Парфюмерная вода мужская SELECTIVE Elegant Fougere, 60мл</t>
  </si>
  <si>
    <t>Парфюмерная вода для женщин SELECTIVE White Crystal, 50 мл</t>
  </si>
  <si>
    <t>Парфюмерная вода для женщин SELECTIVE Pure Jasmin, 50 мл</t>
  </si>
  <si>
    <t>Парфюмерная вода женская SELECTIVE Romantic Vetiver, 50 мл</t>
  </si>
  <si>
    <t>Парфюмерная вода для женщин SELECTIVE Mystic Red, 50 мл</t>
  </si>
  <si>
    <t>Женская парфюмерная вода цитрусовая La Mia Roma, 10мл</t>
  </si>
  <si>
    <t>Женская парфюмерная вода цветочная La Mia Firenze, 60мл</t>
  </si>
  <si>
    <t>Женская парфюмерная вода цитрусовая La Mia Roma, 60мл</t>
  </si>
  <si>
    <t>Женская парфюмерная вода сладкая La Mia Verona, 10мл</t>
  </si>
  <si>
    <t>Женская парфюмерная вода сладкая La Mia Verona, 60мл</t>
  </si>
  <si>
    <t>Женская парфюмерная вода свежая La Mia Venezia, 10мл</t>
  </si>
  <si>
    <t>Женская парфюмерная вода цветочная La Mia Firenze, 10мл</t>
  </si>
  <si>
    <t>Женская парфюмерная вода свежая La Mia Venezia, 60мл</t>
  </si>
  <si>
    <t>Духи мужские свежие New York SEVEN, 90 мл</t>
  </si>
  <si>
    <t>Духи мужские пряные New York FIVE, 90 мл</t>
  </si>
  <si>
    <t>Духи мужские свежие New York TWO, 90 мл</t>
  </si>
  <si>
    <t>Духи мужские акватические New York ONE, 90 мл</t>
  </si>
  <si>
    <t>Духи мужские древесные New York EIGHT, 90 мл</t>
  </si>
  <si>
    <t>Духи мужские фужерные New York FOUR, 90 мл</t>
  </si>
  <si>
    <t>Духи мужские цитрусовые New York SIX, 90 мл</t>
  </si>
  <si>
    <t>Духи мужские акватические New York THREE, 90 мл</t>
  </si>
  <si>
    <t>Духи женские цветочные стойкие New York ONE, 50 мл</t>
  </si>
  <si>
    <t>Духи женские восточные со шлейфом New York SIX, 50 мл</t>
  </si>
  <si>
    <t>Духи женские фруктовые стойкие New York THREE, 50 мл</t>
  </si>
  <si>
    <t>Духи женские тропические со шлейфом New York TWO, 50 мл</t>
  </si>
  <si>
    <t>Духи женские сладкие со шлейфом New York EIGHT, 50 мл</t>
  </si>
  <si>
    <t>Духи женские со шлейфом императрица New York FOUR, 50 мл</t>
  </si>
  <si>
    <t>Духи женские фужерные свежие New York ELEVEN, 50 мл</t>
  </si>
  <si>
    <t>Духи женские свежие со шлейфом New York TWELVE, 50 мл</t>
  </si>
  <si>
    <t>Духи женские цитрусовые свежие New York NINE, 50 мл</t>
  </si>
  <si>
    <t>Духи женские со шлейфом сирень New York SEVEN, 50 мл</t>
  </si>
  <si>
    <t>Духи женские Good Girl ванильные New York TEN, 50 мл</t>
  </si>
  <si>
    <t>Духи женские восточные стойкие New York FIVE, 50 мл</t>
  </si>
  <si>
    <t>Духи женские фруктовые стойкие Mademoiselle 15, 50 мл</t>
  </si>
  <si>
    <t>Духи женские свежие со шлейфом Mademoiselle 12, 50 мл</t>
  </si>
  <si>
    <t>Духи женские цветочные стойкие Mademoiselle 16, 50 мл</t>
  </si>
  <si>
    <t>Духи женские стойкие свежие Mademoiselle 13, 50 мл</t>
  </si>
  <si>
    <t>Духи женские стойкие Mademoiselle 17 Black Opium, 50 мл</t>
  </si>
  <si>
    <t>Духи женские стойкие цветочные Mademoiselle 11, 50 мл</t>
  </si>
  <si>
    <t>Духи женские ванильные со шлейфом Mademoiselle 14, 50 мл</t>
  </si>
  <si>
    <t>Духи женские стойкие со шлейфом Mademoiselle 7, 50 мл</t>
  </si>
  <si>
    <t>Духи женские стойкие со шлейфом Mademoiselle 6, 50 мл</t>
  </si>
  <si>
    <t>Духи женские цветочные сирень Mademoiselle 5, 50 мл</t>
  </si>
  <si>
    <t>Духи женские стойкие со шлейфом Mademoiselle 4, 50 мл</t>
  </si>
  <si>
    <t>Духи женские цитрусовые нежные Mademoiselle 2, 50 мл</t>
  </si>
  <si>
    <t>Духи женские стойкие цветочные Mademoiselle 1, 50 мл</t>
  </si>
  <si>
    <t>Духи женские набор BOHEMIA BLACK &amp; WHITE, 4 шт по 2 мл</t>
  </si>
  <si>
    <t>Духи женские стойкие BOHEMIA набор пробников 5 шт по 2 мл</t>
  </si>
  <si>
    <t>Духи женские MADEMOISELLE, набор пробников 7 шт. по 2 мл</t>
  </si>
  <si>
    <t>Духи женские набор BOHEMIA СOLORED DIAMONDS, 4 штуки по 2 мл</t>
  </si>
  <si>
    <t>Духи женские набор пробников LA MIA ITALIA, 4 штуки по 2 мл</t>
  </si>
  <si>
    <t>Духи мужские GENTLEMAN PRIVATE, набор пробников 7шт. по 2 мл</t>
  </si>
  <si>
    <t>Духи мужские GENTLEMAN CLASSIC, набор пробников 7шт. по 2 мл</t>
  </si>
  <si>
    <t>Парфюмированный гель для душа BOHEMIA EXCELSIOR, 200 мл</t>
  </si>
  <si>
    <t>Парфюмированный гель для душа BOHEMIA NIGHT DREAMS, 200 мл</t>
  </si>
  <si>
    <t>Парфюмированный гель для душа BOHEMIA ICE QUEEN, 200 мл</t>
  </si>
  <si>
    <t>Парфюмированный гель для душа BOHEMIA IN BLACK, 200 мл</t>
  </si>
  <si>
    <t>Парфюмированный гель для душа BOHEMIA MAGNIFICENCE, 200 мл</t>
  </si>
  <si>
    <t>Парфюмированный гель для душа BOHEMIA ILLUSION, 200 мл</t>
  </si>
  <si>
    <t>Парфюмированный гель для душа BOHEMIA MIDNIGHT, 200 мл</t>
  </si>
  <si>
    <t>Парфюмированный гель для душа BOHEMIA MOONSTONE, 200 мл</t>
  </si>
  <si>
    <t>['4603720462491']</t>
  </si>
  <si>
    <t>['4603720462545']</t>
  </si>
  <si>
    <t>['4603720462514']</t>
  </si>
  <si>
    <t>['4603720462507']</t>
  </si>
  <si>
    <t>['4603720462484']</t>
  </si>
  <si>
    <t>['4603720462521']</t>
  </si>
  <si>
    <t>['4607817712186']</t>
  </si>
  <si>
    <t>['4607817712155']</t>
  </si>
  <si>
    <t>['4607817712131']</t>
  </si>
  <si>
    <t>['4607817712162']</t>
  </si>
  <si>
    <t>['4607817712179']</t>
  </si>
  <si>
    <t>['4607817712148']</t>
  </si>
  <si>
    <t>['4603720462026', '4605994031410']</t>
  </si>
  <si>
    <t>['4603720462057', '4604094037193']</t>
  </si>
  <si>
    <t>['4603720462019', '4605994031403']</t>
  </si>
  <si>
    <t>['4603720462095', '4660001938229']</t>
  </si>
  <si>
    <t>['4607817711950']</t>
  </si>
  <si>
    <t>['4603720462408', '4604094030866']</t>
  </si>
  <si>
    <t>['4603720462033', '4605994031427']</t>
  </si>
  <si>
    <t>['4603720462064', '4605994031458']</t>
  </si>
  <si>
    <t>['4603720462040', '4605994031434']</t>
  </si>
  <si>
    <t>['4603720462156']</t>
  </si>
  <si>
    <t>['4603720462170']</t>
  </si>
  <si>
    <t>['4603720462149']</t>
  </si>
  <si>
    <t>['4603720462200']</t>
  </si>
  <si>
    <t>['4603720462194']</t>
  </si>
  <si>
    <t>['4603720462187']</t>
  </si>
  <si>
    <t>['4603720462163']</t>
  </si>
  <si>
    <t>['4607817712124']</t>
  </si>
  <si>
    <t>['4607817712117']</t>
  </si>
  <si>
    <t>['4607817712087']</t>
  </si>
  <si>
    <t>['4607817712100']</t>
  </si>
  <si>
    <t>['4607817712094']</t>
  </si>
  <si>
    <t>['4607817712018']</t>
  </si>
  <si>
    <t>['4607817711998']</t>
  </si>
  <si>
    <t>['4607817711967']</t>
  </si>
  <si>
    <t>['4607817711974']</t>
  </si>
  <si>
    <t>['2043908674681', '4607817711936']</t>
  </si>
  <si>
    <t>['4607817711981']</t>
  </si>
  <si>
    <t>['4604094038206']</t>
  </si>
  <si>
    <t>['4603720462439']</t>
  </si>
  <si>
    <t>['4603720462422']</t>
  </si>
  <si>
    <t>['4603720462453']</t>
  </si>
  <si>
    <t>['4603720462446']</t>
  </si>
  <si>
    <t>['4604094038152']</t>
  </si>
  <si>
    <t>['4604094038190']</t>
  </si>
  <si>
    <t>['4604094038183']</t>
  </si>
  <si>
    <t>['4604094038169']</t>
  </si>
  <si>
    <t>['4607817711943']</t>
  </si>
  <si>
    <t>['4607817710953']</t>
  </si>
  <si>
    <t>['4607817711219']</t>
  </si>
  <si>
    <t>['4607817710823']</t>
  </si>
  <si>
    <t>['4607817710830']</t>
  </si>
  <si>
    <t>['4607817710946']</t>
  </si>
  <si>
    <t>['4607817710816']</t>
  </si>
  <si>
    <t>['4607817710939']</t>
  </si>
  <si>
    <t>['4607817711226']</t>
  </si>
  <si>
    <t>['4607817711189']</t>
  </si>
  <si>
    <t>['4607817711202']</t>
  </si>
  <si>
    <t>['4607817711196']</t>
  </si>
  <si>
    <t>['4607817712360']</t>
  </si>
  <si>
    <t>['4604094035151', '4607817711776']</t>
  </si>
  <si>
    <t>['4604094035137', '4607817711783']</t>
  </si>
  <si>
    <t>['4607817712384']</t>
  </si>
  <si>
    <t>['4604094035113', '4607817711806']</t>
  </si>
  <si>
    <t>['4607817712377']</t>
  </si>
  <si>
    <t>['4607817712353']</t>
  </si>
  <si>
    <t>['4604094035106', '4607817711790']</t>
  </si>
  <si>
    <t>['4607817710915']</t>
  </si>
  <si>
    <t>['4607817710892']</t>
  </si>
  <si>
    <t>['4607817710861']</t>
  </si>
  <si>
    <t>['4607817710854']</t>
  </si>
  <si>
    <t>['4607817710922']</t>
  </si>
  <si>
    <t>['4607817710885']</t>
  </si>
  <si>
    <t>['4607817710908']</t>
  </si>
  <si>
    <t>['4607817710878']</t>
  </si>
  <si>
    <t>['4603720462286']</t>
  </si>
  <si>
    <t>['4603720462330']</t>
  </si>
  <si>
    <t>['4603720462309']</t>
  </si>
  <si>
    <t>['4603720462293']</t>
  </si>
  <si>
    <t>['4603720462354']</t>
  </si>
  <si>
    <t>['4603720462316']</t>
  </si>
  <si>
    <t>['4603720462385']</t>
  </si>
  <si>
    <t>['4603720462392']</t>
  </si>
  <si>
    <t>['4603720462361']</t>
  </si>
  <si>
    <t>['4603720462347']</t>
  </si>
  <si>
    <t>['4603720462378']</t>
  </si>
  <si>
    <t>['4603720462323']</t>
  </si>
  <si>
    <t>['4603720462255']</t>
  </si>
  <si>
    <t>['4603720462224']</t>
  </si>
  <si>
    <t>['4603720462262']</t>
  </si>
  <si>
    <t>['4603720462231']</t>
  </si>
  <si>
    <t>['4603720462279']</t>
  </si>
  <si>
    <t>['4603720462217']</t>
  </si>
  <si>
    <t>['4603720462248']</t>
  </si>
  <si>
    <t>['4603720462132', '4604094030859']</t>
  </si>
  <si>
    <t>['4603720462125', '4660001938281']</t>
  </si>
  <si>
    <t>['4603720462118', '4660001938267']</t>
  </si>
  <si>
    <t>['4603720462101', '4660001938243']</t>
  </si>
  <si>
    <t>['4603720462088', '4660001938205']</t>
  </si>
  <si>
    <t>['4603720462071', '4660001938182']</t>
  </si>
  <si>
    <t>['4607817712582']</t>
  </si>
  <si>
    <t>['4607817711240']</t>
  </si>
  <si>
    <t>['4607817711677']</t>
  </si>
  <si>
    <t>['4607817711257']</t>
  </si>
  <si>
    <t>['4607817712575']</t>
  </si>
  <si>
    <t>['4607817712452']</t>
  </si>
  <si>
    <t>['4607817711684']</t>
  </si>
  <si>
    <t>['4607817711660']</t>
  </si>
  <si>
    <t>['4601364081610']</t>
  </si>
  <si>
    <t>['4601364081689']</t>
  </si>
  <si>
    <t>['4601364081627']</t>
  </si>
  <si>
    <t>['4601364081658']</t>
  </si>
  <si>
    <t>['4601364081641']</t>
  </si>
  <si>
    <t>['4601364081634']</t>
  </si>
  <si>
    <t>['4601364081665']</t>
  </si>
  <si>
    <t>['4601364081672']</t>
  </si>
  <si>
    <t>openCount</t>
  </si>
  <si>
    <t>cartCount</t>
  </si>
  <si>
    <t>orderCount - cancelCount</t>
  </si>
  <si>
    <t>orderSum - cancelSum</t>
  </si>
  <si>
    <t>buyoutCount</t>
  </si>
  <si>
    <t>buyoutSum</t>
  </si>
  <si>
    <t>Продажа</t>
  </si>
  <si>
    <t>Логистика к клиенту</t>
  </si>
  <si>
    <t>Обратная логистика</t>
  </si>
  <si>
    <t>Хранение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</si>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</sst>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rgacevad\Folder\TEMP\DAILY_DETAIL_HISTORY_REPORT.xlsx" TargetMode="External"/><Relationship Id="rId1" Type="http://schemas.openxmlformats.org/officeDocument/2006/relationships/externalLinkPath" Target="DAILY_DETAIL_HISTORY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rgacevad\Folder\TEMP\REALIZATION_DETAIL_REPORT.xlsx" TargetMode="External"/><Relationship Id="rId1" Type="http://schemas.openxmlformats.org/officeDocument/2006/relationships/externalLinkPath" Target="REALIZATION_DETAIL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vendorCode</v>
          </cell>
          <cell r="D1" t="str">
            <v>openCount</v>
          </cell>
          <cell r="E1" t="str">
            <v>cartCount</v>
          </cell>
          <cell r="F1" t="str">
            <v>orderCount - cancelCount</v>
          </cell>
          <cell r="G1" t="str">
            <v>orderSum - cancelSum</v>
          </cell>
          <cell r="H1" t="str">
            <v>buyoutCount</v>
          </cell>
          <cell r="I1" t="str">
            <v>buyoutSum</v>
          </cell>
        </row>
        <row r="2">
          <cell r="C2" t="str">
            <v>INTERSHL000009</v>
          </cell>
          <cell r="D2">
            <v>658</v>
          </cell>
          <cell r="E2">
            <v>98</v>
          </cell>
          <cell r="F2">
            <v>20</v>
          </cell>
          <cell r="G2">
            <v>26400</v>
          </cell>
          <cell r="H2">
            <v>19</v>
          </cell>
          <cell r="I2">
            <v>25080</v>
          </cell>
        </row>
        <row r="3">
          <cell r="C3" t="str">
            <v>PARFCONS000002</v>
          </cell>
          <cell r="D3">
            <v>517</v>
          </cell>
          <cell r="E3">
            <v>58</v>
          </cell>
          <cell r="F3">
            <v>17</v>
          </cell>
          <cell r="G3">
            <v>22185</v>
          </cell>
          <cell r="H3">
            <v>15</v>
          </cell>
          <cell r="I3">
            <v>19575</v>
          </cell>
        </row>
        <row r="4">
          <cell r="C4" t="str">
            <v>GALVANOL000003</v>
          </cell>
          <cell r="D4">
            <v>327</v>
          </cell>
          <cell r="E4">
            <v>63</v>
          </cell>
          <cell r="F4">
            <v>10</v>
          </cell>
          <cell r="G4">
            <v>8200</v>
          </cell>
          <cell r="H4">
            <v>9</v>
          </cell>
          <cell r="I4">
            <v>7380</v>
          </cell>
        </row>
        <row r="5">
          <cell r="C5" t="str">
            <v>ELOR62347</v>
          </cell>
          <cell r="D5">
            <v>319</v>
          </cell>
          <cell r="E5">
            <v>31</v>
          </cell>
          <cell r="F5">
            <v>7</v>
          </cell>
          <cell r="G5">
            <v>7525</v>
          </cell>
          <cell r="H5">
            <v>7</v>
          </cell>
          <cell r="I5">
            <v>7525</v>
          </cell>
        </row>
        <row r="6">
          <cell r="C6" t="str">
            <v>ELOR62378</v>
          </cell>
          <cell r="D6">
            <v>309</v>
          </cell>
          <cell r="E6">
            <v>39</v>
          </cell>
          <cell r="F6">
            <v>11</v>
          </cell>
          <cell r="G6">
            <v>11825</v>
          </cell>
          <cell r="H6">
            <v>9</v>
          </cell>
          <cell r="I6">
            <v>9675</v>
          </cell>
        </row>
        <row r="7">
          <cell r="C7" t="str">
            <v>PCG000007</v>
          </cell>
          <cell r="D7">
            <v>308</v>
          </cell>
          <cell r="E7">
            <v>35</v>
          </cell>
          <cell r="F7">
            <v>10</v>
          </cell>
          <cell r="G7">
            <v>14960</v>
          </cell>
          <cell r="H7">
            <v>10</v>
          </cell>
          <cell r="I7">
            <v>14960</v>
          </cell>
        </row>
        <row r="8">
          <cell r="C8" t="str">
            <v>INTERSHL000011</v>
          </cell>
          <cell r="D8">
            <v>273</v>
          </cell>
          <cell r="E8">
            <v>19</v>
          </cell>
          <cell r="F8">
            <v>9</v>
          </cell>
          <cell r="G8">
            <v>11880</v>
          </cell>
          <cell r="H8">
            <v>9</v>
          </cell>
          <cell r="I8">
            <v>11880</v>
          </cell>
        </row>
        <row r="9">
          <cell r="C9" t="str">
            <v>PCM000001</v>
          </cell>
          <cell r="D9">
            <v>259</v>
          </cell>
          <cell r="E9">
            <v>19</v>
          </cell>
          <cell r="F9">
            <v>6</v>
          </cell>
          <cell r="G9">
            <v>7830</v>
          </cell>
          <cell r="H9">
            <v>5</v>
          </cell>
          <cell r="I9">
            <v>6525</v>
          </cell>
        </row>
        <row r="10">
          <cell r="C10" t="str">
            <v>GALVANOL000024</v>
          </cell>
          <cell r="D10">
            <v>248</v>
          </cell>
          <cell r="E10">
            <v>27</v>
          </cell>
          <cell r="F10">
            <v>5</v>
          </cell>
          <cell r="G10">
            <v>4100</v>
          </cell>
          <cell r="H10">
            <v>3</v>
          </cell>
          <cell r="I10">
            <v>2460</v>
          </cell>
        </row>
        <row r="11">
          <cell r="C11" t="str">
            <v>ELOR62354</v>
          </cell>
          <cell r="D11">
            <v>247</v>
          </cell>
          <cell r="E11">
            <v>22</v>
          </cell>
          <cell r="F11">
            <v>4</v>
          </cell>
          <cell r="G11">
            <v>3400</v>
          </cell>
          <cell r="H11">
            <v>4</v>
          </cell>
          <cell r="I11">
            <v>3400</v>
          </cell>
        </row>
        <row r="12">
          <cell r="C12" t="str">
            <v>GALVANOL000001</v>
          </cell>
          <cell r="D12">
            <v>242</v>
          </cell>
          <cell r="E12">
            <v>37</v>
          </cell>
          <cell r="F12">
            <v>5</v>
          </cell>
          <cell r="G12">
            <v>4100</v>
          </cell>
          <cell r="H12">
            <v>5</v>
          </cell>
          <cell r="I12">
            <v>4100</v>
          </cell>
        </row>
        <row r="13">
          <cell r="C13" t="str">
            <v>ELOR62385</v>
          </cell>
          <cell r="D13">
            <v>225</v>
          </cell>
          <cell r="E13">
            <v>12</v>
          </cell>
          <cell r="F13">
            <v>5</v>
          </cell>
          <cell r="G13">
            <v>4625</v>
          </cell>
          <cell r="H13">
            <v>5</v>
          </cell>
          <cell r="I13">
            <v>4625</v>
          </cell>
        </row>
        <row r="14">
          <cell r="C14" t="str">
            <v>INTERSHL000010</v>
          </cell>
          <cell r="D14">
            <v>222</v>
          </cell>
          <cell r="E14">
            <v>6</v>
          </cell>
          <cell r="F14">
            <v>1</v>
          </cell>
          <cell r="G14">
            <v>1291</v>
          </cell>
          <cell r="H14">
            <v>1</v>
          </cell>
          <cell r="I14">
            <v>1291</v>
          </cell>
        </row>
        <row r="15">
          <cell r="C15" t="str">
            <v>INTERSHL000008</v>
          </cell>
          <cell r="D15">
            <v>220</v>
          </cell>
          <cell r="E15">
            <v>14</v>
          </cell>
          <cell r="F15">
            <v>3</v>
          </cell>
          <cell r="G15">
            <v>3915</v>
          </cell>
          <cell r="H15">
            <v>1</v>
          </cell>
          <cell r="I15">
            <v>1305</v>
          </cell>
        </row>
        <row r="16">
          <cell r="C16" t="str">
            <v>PCM000007</v>
          </cell>
          <cell r="D16">
            <v>217</v>
          </cell>
          <cell r="E16">
            <v>17</v>
          </cell>
          <cell r="F16">
            <v>4</v>
          </cell>
          <cell r="G16">
            <v>5340</v>
          </cell>
          <cell r="H16">
            <v>3</v>
          </cell>
          <cell r="I16">
            <v>4005</v>
          </cell>
        </row>
        <row r="17">
          <cell r="C17" t="str">
            <v>INTERSHL000012</v>
          </cell>
          <cell r="D17">
            <v>215</v>
          </cell>
          <cell r="E17">
            <v>6</v>
          </cell>
          <cell r="F17">
            <v>2</v>
          </cell>
          <cell r="G17">
            <v>2582</v>
          </cell>
          <cell r="H17">
            <v>2</v>
          </cell>
          <cell r="I17">
            <v>2582</v>
          </cell>
        </row>
        <row r="18">
          <cell r="C18" t="str">
            <v>INTERSHL000007</v>
          </cell>
          <cell r="D18">
            <v>210</v>
          </cell>
          <cell r="E18">
            <v>12</v>
          </cell>
          <cell r="F18">
            <v>5</v>
          </cell>
          <cell r="G18">
            <v>6525</v>
          </cell>
          <cell r="H18">
            <v>4</v>
          </cell>
          <cell r="I18">
            <v>5220</v>
          </cell>
        </row>
        <row r="19">
          <cell r="C19" t="str">
            <v>ELOR62316</v>
          </cell>
          <cell r="D19">
            <v>207</v>
          </cell>
          <cell r="E19">
            <v>22</v>
          </cell>
          <cell r="F19">
            <v>1</v>
          </cell>
          <cell r="G19">
            <v>925</v>
          </cell>
          <cell r="H19">
            <v>0</v>
          </cell>
          <cell r="I19">
            <v>0</v>
          </cell>
        </row>
        <row r="20">
          <cell r="C20" t="str">
            <v>INTERSHL000001</v>
          </cell>
          <cell r="D20">
            <v>199</v>
          </cell>
          <cell r="E20">
            <v>25</v>
          </cell>
          <cell r="F20">
            <v>10</v>
          </cell>
          <cell r="G20">
            <v>14960</v>
          </cell>
          <cell r="H20">
            <v>9</v>
          </cell>
          <cell r="I20">
            <v>13464</v>
          </cell>
        </row>
        <row r="21">
          <cell r="C21" t="str">
            <v>ELOR62361</v>
          </cell>
          <cell r="D21">
            <v>191</v>
          </cell>
          <cell r="E21">
            <v>10</v>
          </cell>
          <cell r="F21">
            <v>4</v>
          </cell>
          <cell r="G21">
            <v>3500</v>
          </cell>
          <cell r="H21">
            <v>4</v>
          </cell>
          <cell r="I21">
            <v>3500</v>
          </cell>
        </row>
        <row r="22">
          <cell r="C22" t="str">
            <v>PCM000004</v>
          </cell>
          <cell r="D22">
            <v>182</v>
          </cell>
          <cell r="E22">
            <v>14</v>
          </cell>
          <cell r="F22">
            <v>3</v>
          </cell>
          <cell r="G22">
            <v>3873</v>
          </cell>
          <cell r="H22">
            <v>2</v>
          </cell>
          <cell r="I22">
            <v>2582</v>
          </cell>
        </row>
        <row r="23">
          <cell r="C23" t="str">
            <v>GALVANOL000002</v>
          </cell>
          <cell r="D23">
            <v>182</v>
          </cell>
          <cell r="E23">
            <v>16</v>
          </cell>
          <cell r="F23">
            <v>1</v>
          </cell>
          <cell r="G23">
            <v>820</v>
          </cell>
          <cell r="H23">
            <v>1</v>
          </cell>
          <cell r="I23">
            <v>820</v>
          </cell>
        </row>
        <row r="24">
          <cell r="C24" t="str">
            <v>PCG000003</v>
          </cell>
          <cell r="D24">
            <v>177</v>
          </cell>
          <cell r="E24">
            <v>15</v>
          </cell>
          <cell r="F24">
            <v>6</v>
          </cell>
          <cell r="G24">
            <v>8976</v>
          </cell>
          <cell r="H24">
            <v>6</v>
          </cell>
          <cell r="I24">
            <v>8976</v>
          </cell>
        </row>
        <row r="25">
          <cell r="C25" t="str">
            <v>INTERSHL000004</v>
          </cell>
          <cell r="D25">
            <v>172</v>
          </cell>
          <cell r="E25">
            <v>17</v>
          </cell>
          <cell r="F25">
            <v>8</v>
          </cell>
          <cell r="G25">
            <v>11968</v>
          </cell>
          <cell r="H25">
            <v>6</v>
          </cell>
          <cell r="I25">
            <v>8976</v>
          </cell>
        </row>
        <row r="26">
          <cell r="C26" t="str">
            <v>GALVANOL000004</v>
          </cell>
          <cell r="D26">
            <v>170</v>
          </cell>
          <cell r="E26">
            <v>7</v>
          </cell>
          <cell r="F26">
            <v>2</v>
          </cell>
          <cell r="G26">
            <v>1640</v>
          </cell>
          <cell r="H26">
            <v>2</v>
          </cell>
          <cell r="I26">
            <v>1640</v>
          </cell>
        </row>
        <row r="27">
          <cell r="C27" t="str">
            <v>ELOR62392</v>
          </cell>
          <cell r="D27">
            <v>169</v>
          </cell>
          <cell r="E27">
            <v>11</v>
          </cell>
          <cell r="F27">
            <v>7</v>
          </cell>
          <cell r="G27">
            <v>6124</v>
          </cell>
          <cell r="H27">
            <v>6</v>
          </cell>
          <cell r="I27">
            <v>5249</v>
          </cell>
        </row>
        <row r="28">
          <cell r="C28" t="str">
            <v>GALVANOL000005</v>
          </cell>
          <cell r="D28">
            <v>169</v>
          </cell>
          <cell r="E28">
            <v>10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C29" t="str">
            <v>PCM000005</v>
          </cell>
          <cell r="D29">
            <v>153</v>
          </cell>
          <cell r="E29">
            <v>3</v>
          </cell>
          <cell r="F29">
            <v>1</v>
          </cell>
          <cell r="G29">
            <v>1320</v>
          </cell>
          <cell r="H29">
            <v>0</v>
          </cell>
          <cell r="I29">
            <v>0</v>
          </cell>
        </row>
        <row r="30">
          <cell r="C30" t="str">
            <v>PCM000006</v>
          </cell>
          <cell r="D30">
            <v>144</v>
          </cell>
          <cell r="E30">
            <v>8</v>
          </cell>
          <cell r="F30">
            <v>3</v>
          </cell>
          <cell r="G30">
            <v>3873</v>
          </cell>
          <cell r="H30">
            <v>2</v>
          </cell>
          <cell r="I30">
            <v>2582</v>
          </cell>
        </row>
        <row r="31">
          <cell r="C31" t="str">
            <v>ELOR62286</v>
          </cell>
          <cell r="D31">
            <v>129</v>
          </cell>
          <cell r="E31">
            <v>3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C32" t="str">
            <v>PCM000002</v>
          </cell>
          <cell r="D32">
            <v>126</v>
          </cell>
          <cell r="E32">
            <v>13</v>
          </cell>
          <cell r="F32">
            <v>1</v>
          </cell>
          <cell r="G32">
            <v>1291</v>
          </cell>
          <cell r="H32">
            <v>1</v>
          </cell>
          <cell r="I32">
            <v>1291</v>
          </cell>
        </row>
        <row r="33">
          <cell r="C33" t="str">
            <v>INTERSHL000005</v>
          </cell>
          <cell r="D33">
            <v>121</v>
          </cell>
          <cell r="E33">
            <v>7</v>
          </cell>
          <cell r="F33">
            <v>1</v>
          </cell>
          <cell r="G33">
            <v>3200</v>
          </cell>
          <cell r="H33">
            <v>1</v>
          </cell>
          <cell r="I33">
            <v>3200</v>
          </cell>
        </row>
        <row r="34">
          <cell r="C34" t="str">
            <v>PCM000003</v>
          </cell>
          <cell r="D34">
            <v>121</v>
          </cell>
          <cell r="E34">
            <v>6</v>
          </cell>
          <cell r="F34">
            <v>1</v>
          </cell>
          <cell r="G34">
            <v>1290</v>
          </cell>
          <cell r="H34">
            <v>0</v>
          </cell>
          <cell r="I34">
            <v>0</v>
          </cell>
        </row>
        <row r="35">
          <cell r="C35" t="str">
            <v>INTERSHL000006</v>
          </cell>
          <cell r="D35">
            <v>115</v>
          </cell>
          <cell r="E35">
            <v>9</v>
          </cell>
          <cell r="F35">
            <v>3</v>
          </cell>
          <cell r="G35">
            <v>4488</v>
          </cell>
          <cell r="H35">
            <v>3</v>
          </cell>
          <cell r="I35">
            <v>4488</v>
          </cell>
        </row>
        <row r="36">
          <cell r="C36" t="str">
            <v>ELOR62309</v>
          </cell>
          <cell r="D36">
            <v>115</v>
          </cell>
          <cell r="E36">
            <v>4</v>
          </cell>
          <cell r="F36">
            <v>2</v>
          </cell>
          <cell r="G36">
            <v>1800</v>
          </cell>
          <cell r="H36">
            <v>2</v>
          </cell>
          <cell r="I36">
            <v>1800</v>
          </cell>
        </row>
        <row r="37">
          <cell r="C37" t="str">
            <v>PCG000006</v>
          </cell>
          <cell r="D37">
            <v>111</v>
          </cell>
          <cell r="E37">
            <v>4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C38" t="str">
            <v>ELOR62330</v>
          </cell>
          <cell r="D38">
            <v>109</v>
          </cell>
          <cell r="E38">
            <v>5</v>
          </cell>
          <cell r="F38">
            <v>2</v>
          </cell>
          <cell r="G38">
            <v>1700</v>
          </cell>
          <cell r="H38">
            <v>2</v>
          </cell>
          <cell r="I38">
            <v>1700</v>
          </cell>
        </row>
        <row r="39">
          <cell r="C39" t="str">
            <v>INTERSHL000002</v>
          </cell>
          <cell r="D39">
            <v>107</v>
          </cell>
          <cell r="E39">
            <v>13</v>
          </cell>
          <cell r="F39">
            <v>5</v>
          </cell>
          <cell r="G39">
            <v>7480</v>
          </cell>
          <cell r="H39">
            <v>4</v>
          </cell>
          <cell r="I39">
            <v>5984</v>
          </cell>
        </row>
        <row r="40">
          <cell r="C40" t="str">
            <v>ELOR62323</v>
          </cell>
          <cell r="D40">
            <v>105</v>
          </cell>
          <cell r="E40">
            <v>5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C41" t="str">
            <v>ELOR62293</v>
          </cell>
          <cell r="D41">
            <v>104</v>
          </cell>
          <cell r="E41">
            <v>4</v>
          </cell>
          <cell r="F41">
            <v>2</v>
          </cell>
          <cell r="G41">
            <v>1749</v>
          </cell>
          <cell r="H41">
            <v>2</v>
          </cell>
          <cell r="I41">
            <v>1749</v>
          </cell>
        </row>
        <row r="42">
          <cell r="C42" t="str">
            <v>PCG000005</v>
          </cell>
          <cell r="D42">
            <v>101</v>
          </cell>
          <cell r="E42">
            <v>6</v>
          </cell>
          <cell r="F42">
            <v>2</v>
          </cell>
          <cell r="G42">
            <v>2930</v>
          </cell>
          <cell r="H42">
            <v>2</v>
          </cell>
          <cell r="I42">
            <v>2930</v>
          </cell>
        </row>
        <row r="43">
          <cell r="C43" t="str">
            <v>PCG000004</v>
          </cell>
          <cell r="D43">
            <v>99</v>
          </cell>
          <cell r="E43">
            <v>8</v>
          </cell>
          <cell r="F43">
            <v>1</v>
          </cell>
          <cell r="G43">
            <v>1465</v>
          </cell>
          <cell r="H43">
            <v>1</v>
          </cell>
          <cell r="I43">
            <v>1465</v>
          </cell>
        </row>
        <row r="44">
          <cell r="C44" t="str">
            <v>PCG000001</v>
          </cell>
          <cell r="D44">
            <v>94</v>
          </cell>
          <cell r="E44">
            <v>7</v>
          </cell>
          <cell r="F44">
            <v>3</v>
          </cell>
          <cell r="G44">
            <v>4488</v>
          </cell>
          <cell r="H44">
            <v>2</v>
          </cell>
          <cell r="I44">
            <v>2992</v>
          </cell>
        </row>
        <row r="45">
          <cell r="C45" t="str">
            <v>PCG000002</v>
          </cell>
          <cell r="D45">
            <v>89</v>
          </cell>
          <cell r="E45">
            <v>4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C46" t="str">
            <v>PARFCONS000003</v>
          </cell>
          <cell r="D46">
            <v>87</v>
          </cell>
          <cell r="E46">
            <v>4</v>
          </cell>
          <cell r="F46">
            <v>1</v>
          </cell>
          <cell r="G46">
            <v>1493</v>
          </cell>
          <cell r="H46">
            <v>1</v>
          </cell>
          <cell r="I46">
            <v>1493</v>
          </cell>
        </row>
        <row r="47">
          <cell r="C47" t="str">
            <v>BOHEMIAS000001</v>
          </cell>
          <cell r="D47">
            <v>87</v>
          </cell>
          <cell r="E47">
            <v>10</v>
          </cell>
          <cell r="F47">
            <v>6</v>
          </cell>
          <cell r="G47">
            <v>3864</v>
          </cell>
          <cell r="H47">
            <v>4</v>
          </cell>
          <cell r="I47">
            <v>2576</v>
          </cell>
        </row>
        <row r="48">
          <cell r="C48" t="str">
            <v>PCMINI000001</v>
          </cell>
          <cell r="D48">
            <v>87</v>
          </cell>
          <cell r="E48">
            <v>11</v>
          </cell>
          <cell r="F48">
            <v>3</v>
          </cell>
          <cell r="G48">
            <v>1932</v>
          </cell>
          <cell r="H48">
            <v>3</v>
          </cell>
          <cell r="I48">
            <v>1932</v>
          </cell>
        </row>
        <row r="49">
          <cell r="C49" t="str">
            <v>BOHEMIAS000002</v>
          </cell>
          <cell r="D49">
            <v>82</v>
          </cell>
          <cell r="E49">
            <v>9</v>
          </cell>
          <cell r="F49">
            <v>2</v>
          </cell>
          <cell r="G49">
            <v>1242</v>
          </cell>
          <cell r="H49">
            <v>2</v>
          </cell>
          <cell r="I49">
            <v>1242</v>
          </cell>
        </row>
        <row r="50">
          <cell r="C50" t="str">
            <v>PARFCONS000001</v>
          </cell>
          <cell r="D50">
            <v>78</v>
          </cell>
          <cell r="E50">
            <v>4</v>
          </cell>
          <cell r="F50">
            <v>4</v>
          </cell>
          <cell r="G50">
            <v>5972</v>
          </cell>
          <cell r="H50">
            <v>3</v>
          </cell>
          <cell r="I50">
            <v>4479</v>
          </cell>
        </row>
        <row r="51">
          <cell r="C51" t="str">
            <v>PCLM000011</v>
          </cell>
          <cell r="D51">
            <v>54</v>
          </cell>
          <cell r="E51">
            <v>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C52" t="str">
            <v>BOHEMIAB0000040</v>
          </cell>
          <cell r="D52">
            <v>52</v>
          </cell>
          <cell r="E52">
            <v>3</v>
          </cell>
          <cell r="F52">
            <v>2</v>
          </cell>
          <cell r="G52">
            <v>3074</v>
          </cell>
          <cell r="H52">
            <v>2</v>
          </cell>
          <cell r="I52">
            <v>3074</v>
          </cell>
        </row>
        <row r="53">
          <cell r="C53" t="str">
            <v>BOHEMIA000001</v>
          </cell>
          <cell r="D53">
            <v>51</v>
          </cell>
          <cell r="E53">
            <v>4</v>
          </cell>
          <cell r="F53">
            <v>2</v>
          </cell>
          <cell r="G53">
            <v>5280</v>
          </cell>
          <cell r="H53">
            <v>2</v>
          </cell>
          <cell r="I53">
            <v>5280</v>
          </cell>
        </row>
        <row r="54">
          <cell r="C54" t="str">
            <v>BOHEMIAB0000020</v>
          </cell>
          <cell r="D54">
            <v>51</v>
          </cell>
          <cell r="E54">
            <v>3</v>
          </cell>
          <cell r="F54">
            <v>1</v>
          </cell>
          <cell r="G54">
            <v>1537</v>
          </cell>
          <cell r="H54">
            <v>1</v>
          </cell>
          <cell r="I54">
            <v>1537</v>
          </cell>
        </row>
        <row r="55">
          <cell r="C55" t="str">
            <v>BOHEMIAB0000030</v>
          </cell>
          <cell r="D55">
            <v>49</v>
          </cell>
          <cell r="E55">
            <v>2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C56" t="str">
            <v>PCMINI000002</v>
          </cell>
          <cell r="D56">
            <v>45</v>
          </cell>
          <cell r="E56">
            <v>1</v>
          </cell>
          <cell r="F56">
            <v>1</v>
          </cell>
          <cell r="G56">
            <v>621</v>
          </cell>
          <cell r="H56">
            <v>1</v>
          </cell>
          <cell r="I56">
            <v>621</v>
          </cell>
        </row>
        <row r="57">
          <cell r="C57" t="str">
            <v>BOHEMIA000004</v>
          </cell>
          <cell r="D57">
            <v>44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C58" t="str">
            <v>PCMINI000003</v>
          </cell>
          <cell r="D58">
            <v>44</v>
          </cell>
          <cell r="E58">
            <v>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C59" t="str">
            <v>BOHEMIAC000001</v>
          </cell>
          <cell r="D59">
            <v>44</v>
          </cell>
          <cell r="E59">
            <v>3</v>
          </cell>
          <cell r="F59">
            <v>1</v>
          </cell>
          <cell r="G59">
            <v>621</v>
          </cell>
          <cell r="H59">
            <v>1</v>
          </cell>
          <cell r="I59">
            <v>621</v>
          </cell>
        </row>
        <row r="60">
          <cell r="C60" t="str">
            <v>BOHEMIA000005</v>
          </cell>
          <cell r="D60">
            <v>43</v>
          </cell>
          <cell r="E60">
            <v>4</v>
          </cell>
          <cell r="F60">
            <v>1</v>
          </cell>
          <cell r="G60">
            <v>2640</v>
          </cell>
          <cell r="H60">
            <v>1</v>
          </cell>
          <cell r="I60">
            <v>2640</v>
          </cell>
        </row>
        <row r="61">
          <cell r="C61" t="str">
            <v>BOHEMIA000002</v>
          </cell>
          <cell r="D61">
            <v>42</v>
          </cell>
          <cell r="E61">
            <v>2</v>
          </cell>
          <cell r="F61">
            <v>2</v>
          </cell>
          <cell r="G61">
            <v>5280</v>
          </cell>
          <cell r="H61">
            <v>2</v>
          </cell>
          <cell r="I61">
            <v>5280</v>
          </cell>
        </row>
        <row r="62">
          <cell r="C62" t="str">
            <v>BOHEMIAB000006</v>
          </cell>
          <cell r="D62">
            <v>41</v>
          </cell>
          <cell r="E62">
            <v>2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C63" t="str">
            <v>BOHEMIAB0000010</v>
          </cell>
          <cell r="D63">
            <v>39</v>
          </cell>
          <cell r="E63">
            <v>2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C64" t="str">
            <v>BOHEMIA000006</v>
          </cell>
          <cell r="D64">
            <v>38</v>
          </cell>
          <cell r="E64">
            <v>4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C65" t="str">
            <v>BOHEMIA000009</v>
          </cell>
          <cell r="D65">
            <v>34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C66" t="str">
            <v>BOHEMIA000008</v>
          </cell>
          <cell r="D66">
            <v>33</v>
          </cell>
          <cell r="E66">
            <v>1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C67" t="str">
            <v>NYMEN000003</v>
          </cell>
          <cell r="D67">
            <v>32</v>
          </cell>
          <cell r="E67">
            <v>4</v>
          </cell>
          <cell r="F67">
            <v>4</v>
          </cell>
          <cell r="G67">
            <v>3400</v>
          </cell>
          <cell r="H67">
            <v>3</v>
          </cell>
          <cell r="I67">
            <v>2550</v>
          </cell>
        </row>
        <row r="68">
          <cell r="C68" t="str">
            <v>NYMEN000005</v>
          </cell>
          <cell r="D68">
            <v>31</v>
          </cell>
          <cell r="E68">
            <v>7</v>
          </cell>
          <cell r="F68">
            <v>4</v>
          </cell>
          <cell r="G68">
            <v>3400</v>
          </cell>
          <cell r="H68">
            <v>3</v>
          </cell>
          <cell r="I68">
            <v>2550</v>
          </cell>
        </row>
        <row r="69">
          <cell r="C69" t="str">
            <v>NYMEN0000060</v>
          </cell>
          <cell r="D69">
            <v>29</v>
          </cell>
          <cell r="E69">
            <v>3</v>
          </cell>
          <cell r="F69">
            <v>1</v>
          </cell>
          <cell r="G69">
            <v>850</v>
          </cell>
          <cell r="H69">
            <v>1</v>
          </cell>
          <cell r="I69">
            <v>850</v>
          </cell>
        </row>
        <row r="70">
          <cell r="C70" t="str">
            <v>BOHEMIA000007</v>
          </cell>
          <cell r="D70">
            <v>28</v>
          </cell>
          <cell r="E70">
            <v>2</v>
          </cell>
          <cell r="F70">
            <v>1</v>
          </cell>
          <cell r="G70">
            <v>2640</v>
          </cell>
          <cell r="H70">
            <v>1</v>
          </cell>
          <cell r="I70">
            <v>2640</v>
          </cell>
        </row>
        <row r="71">
          <cell r="C71" t="str">
            <v>NYMEN000004</v>
          </cell>
          <cell r="D71">
            <v>25</v>
          </cell>
          <cell r="E71">
            <v>3</v>
          </cell>
          <cell r="F71">
            <v>1</v>
          </cell>
          <cell r="G71">
            <v>850</v>
          </cell>
          <cell r="H71">
            <v>1</v>
          </cell>
          <cell r="I71">
            <v>850</v>
          </cell>
        </row>
        <row r="72">
          <cell r="C72" t="str">
            <v>NYMEN0000010</v>
          </cell>
          <cell r="D72">
            <v>21</v>
          </cell>
          <cell r="E72">
            <v>3</v>
          </cell>
          <cell r="F72">
            <v>1</v>
          </cell>
          <cell r="G72">
            <v>875</v>
          </cell>
          <cell r="H72">
            <v>1</v>
          </cell>
          <cell r="I72">
            <v>875</v>
          </cell>
        </row>
        <row r="73">
          <cell r="C73" t="str">
            <v>NYMEN0000020</v>
          </cell>
          <cell r="D73">
            <v>21</v>
          </cell>
          <cell r="E73">
            <v>1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C74" t="str">
            <v>BOHEMIA000012</v>
          </cell>
          <cell r="D74">
            <v>19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C75" t="str">
            <v>BOHEMIA000013</v>
          </cell>
          <cell r="D75">
            <v>18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C76" t="str">
            <v>BOHEMIA000010</v>
          </cell>
          <cell r="D76">
            <v>17</v>
          </cell>
          <cell r="E76">
            <v>2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C77" t="str">
            <v>NYMEN000016</v>
          </cell>
          <cell r="D77">
            <v>16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C78" t="str">
            <v>PCLM000010</v>
          </cell>
          <cell r="D78">
            <v>15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C79" t="str">
            <v>PCLM000004</v>
          </cell>
          <cell r="D79">
            <v>14</v>
          </cell>
          <cell r="E79">
            <v>1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C80" t="str">
            <v>PCLM000002</v>
          </cell>
          <cell r="D80">
            <v>13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C81" t="str">
            <v>PCLM000006</v>
          </cell>
          <cell r="D81">
            <v>13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C82" t="str">
            <v>NYMEN0000070</v>
          </cell>
          <cell r="D82">
            <v>13</v>
          </cell>
          <cell r="E82">
            <v>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C83" t="str">
            <v>PCLM000009</v>
          </cell>
          <cell r="D83">
            <v>13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C84" t="str">
            <v>PCLM000001</v>
          </cell>
          <cell r="D84">
            <v>12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C85" t="str">
            <v>BOHEMIA000011</v>
          </cell>
          <cell r="D85">
            <v>12</v>
          </cell>
          <cell r="E85">
            <v>1</v>
          </cell>
          <cell r="F85">
            <v>1</v>
          </cell>
          <cell r="G85">
            <v>3168</v>
          </cell>
          <cell r="H85">
            <v>1</v>
          </cell>
          <cell r="I85">
            <v>3168</v>
          </cell>
        </row>
        <row r="86">
          <cell r="C86" t="str">
            <v>PCLM000008</v>
          </cell>
          <cell r="D86">
            <v>11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C87" t="str">
            <v>BOHEMIAS000010</v>
          </cell>
          <cell r="D87">
            <v>10</v>
          </cell>
          <cell r="E87">
            <v>2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C88" t="str">
            <v>GALVANOL000010</v>
          </cell>
          <cell r="D88">
            <v>8</v>
          </cell>
          <cell r="E88">
            <v>2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C89" t="str">
            <v>SELECTIV000015</v>
          </cell>
          <cell r="D89">
            <v>8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C90" t="str">
            <v>PCLM000007</v>
          </cell>
          <cell r="D90">
            <v>8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C91" t="str">
            <v>GALVANOL000008</v>
          </cell>
          <cell r="D91">
            <v>7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C92" t="str">
            <v>GALVANOL000011</v>
          </cell>
          <cell r="D92">
            <v>7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C93" t="str">
            <v>BOHEMIAS000008</v>
          </cell>
          <cell r="D93">
            <v>7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C94" t="str">
            <v>GALVANOL000009</v>
          </cell>
          <cell r="D94">
            <v>6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C95" t="str">
            <v>SELECTIV000017</v>
          </cell>
          <cell r="D95">
            <v>5</v>
          </cell>
          <cell r="E95">
            <v>1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C96" t="str">
            <v>BOHEMIAS000004</v>
          </cell>
          <cell r="D96">
            <v>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C97" t="str">
            <v>GALVANOL000007</v>
          </cell>
          <cell r="D97">
            <v>4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C98" t="str">
            <v>PCUHOD000005</v>
          </cell>
          <cell r="D98">
            <v>4</v>
          </cell>
          <cell r="E98">
            <v>3</v>
          </cell>
          <cell r="F98">
            <v>1</v>
          </cell>
          <cell r="G98">
            <v>515</v>
          </cell>
          <cell r="H98">
            <v>1</v>
          </cell>
          <cell r="I98">
            <v>515</v>
          </cell>
        </row>
        <row r="99">
          <cell r="C99" t="str">
            <v>GALVANOL000006</v>
          </cell>
          <cell r="D99">
            <v>3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C100" t="str">
            <v>SELECTIV000001</v>
          </cell>
          <cell r="D100">
            <v>3</v>
          </cell>
          <cell r="E100">
            <v>1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C101" t="str">
            <v>SELECTIV000013</v>
          </cell>
          <cell r="D101">
            <v>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C102" t="str">
            <v>SELECTIV000016</v>
          </cell>
          <cell r="D102">
            <v>3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C103" t="str">
            <v>PCUHOD000001</v>
          </cell>
          <cell r="D103">
            <v>3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C104" t="str">
            <v>PCUHOD000003</v>
          </cell>
          <cell r="D104">
            <v>3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C105" t="str">
            <v>SELECTIV000006</v>
          </cell>
          <cell r="D105">
            <v>2</v>
          </cell>
          <cell r="E105">
            <v>1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C106" t="str">
            <v>SELECTIV000005</v>
          </cell>
          <cell r="D106">
            <v>2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C107" t="str">
            <v>SELECTIV000014</v>
          </cell>
          <cell r="D107">
            <v>2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C108" t="str">
            <v>PCUHOD000007</v>
          </cell>
          <cell r="D108">
            <v>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C109" t="str">
            <v>BOHEMIAS000003</v>
          </cell>
          <cell r="D109">
            <v>2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C110" t="str">
            <v>BOHEMIAS000006</v>
          </cell>
          <cell r="D110">
            <v>2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C111" t="str">
            <v>SELECTIV000004</v>
          </cell>
          <cell r="D111">
            <v>1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C112" t="str">
            <v>SELECTIV000002</v>
          </cell>
          <cell r="D112">
            <v>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C113" t="str">
            <v>SELECTIV000003</v>
          </cell>
          <cell r="D113">
            <v>1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C114" t="str">
            <v>PCUHOD000002</v>
          </cell>
          <cell r="D114">
            <v>1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C115" t="str">
            <v>PCUHOD000004</v>
          </cell>
          <cell r="D115">
            <v>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C116" t="str">
            <v>PCUHOD000006</v>
          </cell>
          <cell r="D116">
            <v>1</v>
          </cell>
          <cell r="E116">
            <v>1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C117" t="str">
            <v>PCUHOD000009</v>
          </cell>
          <cell r="D117">
            <v>1</v>
          </cell>
          <cell r="E117">
            <v>1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C118" t="str">
            <v>PCLM000005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C119" t="str">
            <v>BOHEMIAS000007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C120" t="str">
            <v>BOHEMIAS000009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C121" t="str">
            <v>BOHEMIAS000005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nm_id</v>
          </cell>
          <cell r="J1" t="str">
            <v>supplier_oper_name</v>
          </cell>
          <cell r="K1" t="str">
            <v>retail_price_withdisc_rub</v>
          </cell>
          <cell r="N1" t="str">
            <v>delivery_rub</v>
          </cell>
          <cell r="AC1" t="str">
            <v>bonus_type_name</v>
          </cell>
        </row>
        <row r="2">
          <cell r="B2">
            <v>21013824</v>
          </cell>
          <cell r="J2" t="str">
            <v>Логистика</v>
          </cell>
          <cell r="K2">
            <v>0</v>
          </cell>
          <cell r="N2">
            <v>72.12</v>
          </cell>
          <cell r="AC2" t="str">
            <v>К клиенту при продаже</v>
          </cell>
        </row>
        <row r="3">
          <cell r="B3">
            <v>21013824</v>
          </cell>
          <cell r="J3" t="str">
            <v>Продажа</v>
          </cell>
          <cell r="K3">
            <v>1290</v>
          </cell>
          <cell r="N3">
            <v>0</v>
          </cell>
        </row>
        <row r="4">
          <cell r="B4">
            <v>12190436</v>
          </cell>
          <cell r="J4" t="str">
            <v>Логистика</v>
          </cell>
          <cell r="K4">
            <v>0</v>
          </cell>
          <cell r="N4">
            <v>31.33</v>
          </cell>
          <cell r="AC4" t="str">
            <v>К клиенту при продаже</v>
          </cell>
        </row>
        <row r="5">
          <cell r="B5">
            <v>12190436</v>
          </cell>
          <cell r="J5" t="str">
            <v>Продажа</v>
          </cell>
          <cell r="K5">
            <v>1320</v>
          </cell>
          <cell r="N5">
            <v>0</v>
          </cell>
        </row>
        <row r="6">
          <cell r="B6">
            <v>12190436</v>
          </cell>
          <cell r="J6" t="str">
            <v>Логистика</v>
          </cell>
          <cell r="K6">
            <v>0</v>
          </cell>
          <cell r="N6">
            <v>31.33</v>
          </cell>
          <cell r="AC6" t="str">
            <v>К клиенту при продаже</v>
          </cell>
        </row>
        <row r="7">
          <cell r="B7">
            <v>12190436</v>
          </cell>
          <cell r="J7" t="str">
            <v>Продажа</v>
          </cell>
          <cell r="K7">
            <v>1311</v>
          </cell>
          <cell r="N7">
            <v>0</v>
          </cell>
        </row>
        <row r="8">
          <cell r="B8">
            <v>21013822</v>
          </cell>
          <cell r="J8" t="str">
            <v>Логистика</v>
          </cell>
          <cell r="K8">
            <v>0</v>
          </cell>
          <cell r="N8">
            <v>59.94</v>
          </cell>
          <cell r="AC8" t="str">
            <v>К клиенту при продаже</v>
          </cell>
        </row>
        <row r="9">
          <cell r="B9">
            <v>21013822</v>
          </cell>
          <cell r="J9" t="str">
            <v>Продажа</v>
          </cell>
          <cell r="K9">
            <v>1296</v>
          </cell>
          <cell r="N9">
            <v>0</v>
          </cell>
        </row>
        <row r="10">
          <cell r="B10">
            <v>12190434</v>
          </cell>
          <cell r="J10" t="str">
            <v>Логистика</v>
          </cell>
          <cell r="K10">
            <v>0</v>
          </cell>
          <cell r="N10">
            <v>38.53</v>
          </cell>
          <cell r="AC10" t="str">
            <v>К клиенту при продаже</v>
          </cell>
        </row>
        <row r="11">
          <cell r="B11">
            <v>12190434</v>
          </cell>
          <cell r="J11" t="str">
            <v>Продажа</v>
          </cell>
          <cell r="K11">
            <v>1305</v>
          </cell>
          <cell r="N11">
            <v>0</v>
          </cell>
        </row>
        <row r="12">
          <cell r="B12">
            <v>12190436</v>
          </cell>
          <cell r="J12" t="str">
            <v>Логистика</v>
          </cell>
          <cell r="K12">
            <v>0</v>
          </cell>
          <cell r="N12">
            <v>31.33</v>
          </cell>
          <cell r="AC12" t="str">
            <v>К клиенту при продаже</v>
          </cell>
        </row>
        <row r="13">
          <cell r="B13">
            <v>12190436</v>
          </cell>
          <cell r="J13" t="str">
            <v>Продажа</v>
          </cell>
          <cell r="K13">
            <v>1311</v>
          </cell>
          <cell r="N13">
            <v>0</v>
          </cell>
        </row>
        <row r="14">
          <cell r="B14">
            <v>12190436</v>
          </cell>
          <cell r="J14" t="str">
            <v>Корректировка эквайринга</v>
          </cell>
          <cell r="K14">
            <v>0</v>
          </cell>
          <cell r="N14">
            <v>0</v>
          </cell>
        </row>
        <row r="15">
          <cell r="B15">
            <v>12190442</v>
          </cell>
          <cell r="J15" t="str">
            <v>Логистика</v>
          </cell>
          <cell r="K15">
            <v>0</v>
          </cell>
          <cell r="N15">
            <v>60</v>
          </cell>
          <cell r="AC15" t="str">
            <v>К клиенту при продаже</v>
          </cell>
        </row>
        <row r="16">
          <cell r="B16">
            <v>12190442</v>
          </cell>
          <cell r="J16" t="str">
            <v>Продажа</v>
          </cell>
          <cell r="K16">
            <v>1540</v>
          </cell>
          <cell r="N16">
            <v>0</v>
          </cell>
        </row>
        <row r="17">
          <cell r="B17">
            <v>100059556</v>
          </cell>
          <cell r="J17" t="str">
            <v>Логистика</v>
          </cell>
          <cell r="K17">
            <v>0</v>
          </cell>
          <cell r="N17">
            <v>46.4</v>
          </cell>
          <cell r="AC17" t="str">
            <v>К клиенту при продаже</v>
          </cell>
        </row>
        <row r="18">
          <cell r="B18">
            <v>100059556</v>
          </cell>
          <cell r="J18" t="str">
            <v>Продажа</v>
          </cell>
          <cell r="K18">
            <v>825</v>
          </cell>
          <cell r="N18">
            <v>0</v>
          </cell>
        </row>
        <row r="19">
          <cell r="B19">
            <v>12190436</v>
          </cell>
          <cell r="J19" t="str">
            <v>Логистика</v>
          </cell>
          <cell r="K19">
            <v>0</v>
          </cell>
          <cell r="N19">
            <v>31.33</v>
          </cell>
          <cell r="AC19" t="str">
            <v>К клиенту при продаже</v>
          </cell>
        </row>
        <row r="20">
          <cell r="B20">
            <v>12190436</v>
          </cell>
          <cell r="J20" t="str">
            <v>Продажа</v>
          </cell>
          <cell r="K20">
            <v>1320</v>
          </cell>
          <cell r="N20">
            <v>0</v>
          </cell>
        </row>
        <row r="21">
          <cell r="B21">
            <v>21013816</v>
          </cell>
          <cell r="J21" t="str">
            <v>Логистика</v>
          </cell>
          <cell r="K21">
            <v>0</v>
          </cell>
          <cell r="N21">
            <v>34.94</v>
          </cell>
          <cell r="AC21" t="str">
            <v>К клиенту при продаже</v>
          </cell>
        </row>
        <row r="22">
          <cell r="B22">
            <v>21013816</v>
          </cell>
          <cell r="J22" t="str">
            <v>Продажа</v>
          </cell>
          <cell r="K22">
            <v>1465</v>
          </cell>
          <cell r="N22">
            <v>0</v>
          </cell>
        </row>
        <row r="23">
          <cell r="B23">
            <v>21013820</v>
          </cell>
          <cell r="J23" t="str">
            <v>Логистика</v>
          </cell>
          <cell r="K23">
            <v>0</v>
          </cell>
          <cell r="N23">
            <v>58</v>
          </cell>
          <cell r="AC23" t="str">
            <v>К клиенту при продаже</v>
          </cell>
        </row>
        <row r="24">
          <cell r="B24">
            <v>21013820</v>
          </cell>
          <cell r="J24" t="str">
            <v>Продажа</v>
          </cell>
          <cell r="K24">
            <v>1540</v>
          </cell>
          <cell r="N24">
            <v>0</v>
          </cell>
        </row>
        <row r="25">
          <cell r="B25">
            <v>23791014</v>
          </cell>
          <cell r="J25" t="str">
            <v>Логистика</v>
          </cell>
          <cell r="K25">
            <v>0</v>
          </cell>
          <cell r="N25">
            <v>52.11</v>
          </cell>
          <cell r="AC25" t="str">
            <v>К клиенту при продаже</v>
          </cell>
        </row>
        <row r="26">
          <cell r="B26">
            <v>23791014</v>
          </cell>
          <cell r="J26" t="str">
            <v>Продажа</v>
          </cell>
          <cell r="K26">
            <v>1100</v>
          </cell>
          <cell r="N26">
            <v>0</v>
          </cell>
        </row>
        <row r="27">
          <cell r="B27">
            <v>12190435</v>
          </cell>
          <cell r="J27" t="str">
            <v>Логистика</v>
          </cell>
          <cell r="K27">
            <v>0</v>
          </cell>
          <cell r="N27">
            <v>54.6</v>
          </cell>
          <cell r="AC27" t="str">
            <v>К клиенту при продаже</v>
          </cell>
        </row>
        <row r="28">
          <cell r="B28">
            <v>12190435</v>
          </cell>
          <cell r="J28" t="str">
            <v>Продажа</v>
          </cell>
          <cell r="K28">
            <v>1349</v>
          </cell>
          <cell r="N28">
            <v>0</v>
          </cell>
        </row>
        <row r="29">
          <cell r="B29">
            <v>543822698</v>
          </cell>
          <cell r="J29" t="str">
            <v>Логистика</v>
          </cell>
          <cell r="K29">
            <v>0</v>
          </cell>
          <cell r="N29">
            <v>56.59</v>
          </cell>
          <cell r="AC29" t="str">
            <v>К клиенту при продаже</v>
          </cell>
        </row>
        <row r="30">
          <cell r="B30">
            <v>543822698</v>
          </cell>
          <cell r="J30" t="str">
            <v>Продажа</v>
          </cell>
          <cell r="K30">
            <v>515</v>
          </cell>
          <cell r="N30">
            <v>0</v>
          </cell>
        </row>
        <row r="31">
          <cell r="B31">
            <v>12190438</v>
          </cell>
          <cell r="J31" t="str">
            <v>Логистика</v>
          </cell>
          <cell r="K31">
            <v>0</v>
          </cell>
          <cell r="N31">
            <v>38.53</v>
          </cell>
          <cell r="AC31" t="str">
            <v>К клиенту при продаже</v>
          </cell>
        </row>
        <row r="32">
          <cell r="B32">
            <v>12190438</v>
          </cell>
          <cell r="J32" t="str">
            <v>Продажа</v>
          </cell>
          <cell r="K32">
            <v>1311</v>
          </cell>
          <cell r="N32">
            <v>0</v>
          </cell>
        </row>
        <row r="33">
          <cell r="B33">
            <v>12190438</v>
          </cell>
          <cell r="J33" t="str">
            <v>Логистика</v>
          </cell>
          <cell r="K33">
            <v>0</v>
          </cell>
          <cell r="N33">
            <v>64.13</v>
          </cell>
          <cell r="AC33" t="str">
            <v>К клиенту при продаже</v>
          </cell>
        </row>
        <row r="34">
          <cell r="B34">
            <v>12190438</v>
          </cell>
          <cell r="J34" t="str">
            <v>Продажа</v>
          </cell>
          <cell r="K34">
            <v>1349</v>
          </cell>
          <cell r="N34">
            <v>0</v>
          </cell>
        </row>
        <row r="35">
          <cell r="B35">
            <v>12190435</v>
          </cell>
          <cell r="J35" t="str">
            <v>Логистика</v>
          </cell>
          <cell r="K35">
            <v>0</v>
          </cell>
          <cell r="N35">
            <v>31.32</v>
          </cell>
          <cell r="AC35" t="str">
            <v>К клиенту при продаже</v>
          </cell>
        </row>
        <row r="36">
          <cell r="B36">
            <v>12190435</v>
          </cell>
          <cell r="J36" t="str">
            <v>Продажа</v>
          </cell>
          <cell r="K36">
            <v>1273</v>
          </cell>
          <cell r="N36">
            <v>0</v>
          </cell>
        </row>
        <row r="37">
          <cell r="B37">
            <v>411365420</v>
          </cell>
          <cell r="J37" t="str">
            <v>Логистика</v>
          </cell>
          <cell r="K37">
            <v>0</v>
          </cell>
          <cell r="N37">
            <v>72</v>
          </cell>
          <cell r="AC37" t="str">
            <v>К клиенту при отмене</v>
          </cell>
        </row>
        <row r="38">
          <cell r="B38">
            <v>411365420</v>
          </cell>
          <cell r="J38" t="str">
            <v>Логистика</v>
          </cell>
          <cell r="K38">
            <v>0</v>
          </cell>
          <cell r="N38">
            <v>50</v>
          </cell>
          <cell r="AC38" t="str">
            <v>От клиента при отмене</v>
          </cell>
        </row>
        <row r="39">
          <cell r="B39">
            <v>101238524</v>
          </cell>
          <cell r="J39" t="str">
            <v>Логистика</v>
          </cell>
          <cell r="K39">
            <v>0</v>
          </cell>
          <cell r="N39">
            <v>31.28</v>
          </cell>
          <cell r="AC39" t="str">
            <v>К клиенту при продаже</v>
          </cell>
        </row>
        <row r="40">
          <cell r="B40">
            <v>101238524</v>
          </cell>
          <cell r="J40" t="str">
            <v>Продажа</v>
          </cell>
          <cell r="K40">
            <v>850</v>
          </cell>
          <cell r="N40">
            <v>0</v>
          </cell>
        </row>
        <row r="41">
          <cell r="B41">
            <v>23791014</v>
          </cell>
          <cell r="J41" t="str">
            <v>Логистика</v>
          </cell>
          <cell r="K41">
            <v>0</v>
          </cell>
          <cell r="N41">
            <v>33.9</v>
          </cell>
          <cell r="AC41" t="str">
            <v>К клиенту при продаже</v>
          </cell>
        </row>
        <row r="42">
          <cell r="B42">
            <v>23791014</v>
          </cell>
          <cell r="J42" t="str">
            <v>Продажа</v>
          </cell>
          <cell r="K42">
            <v>1075</v>
          </cell>
          <cell r="N42">
            <v>0</v>
          </cell>
        </row>
        <row r="43">
          <cell r="B43">
            <v>21013827</v>
          </cell>
          <cell r="J43" t="str">
            <v>Логистика</v>
          </cell>
          <cell r="K43">
            <v>0</v>
          </cell>
          <cell r="N43">
            <v>72.12</v>
          </cell>
          <cell r="AC43" t="str">
            <v>К клиенту при продаже</v>
          </cell>
        </row>
        <row r="44">
          <cell r="B44">
            <v>21013827</v>
          </cell>
          <cell r="J44" t="str">
            <v>Продажа</v>
          </cell>
          <cell r="K44">
            <v>1291</v>
          </cell>
          <cell r="N44">
            <v>0</v>
          </cell>
        </row>
        <row r="45">
          <cell r="B45">
            <v>12190430</v>
          </cell>
          <cell r="J45" t="str">
            <v>Логистика</v>
          </cell>
          <cell r="K45">
            <v>0</v>
          </cell>
          <cell r="N45">
            <v>37.700000000000003</v>
          </cell>
          <cell r="AC45" t="str">
            <v>К клиенту при продаже</v>
          </cell>
        </row>
        <row r="46">
          <cell r="B46">
            <v>12190430</v>
          </cell>
          <cell r="J46" t="str">
            <v>Продажа</v>
          </cell>
          <cell r="K46">
            <v>1540</v>
          </cell>
          <cell r="N46">
            <v>0</v>
          </cell>
        </row>
        <row r="47">
          <cell r="B47">
            <v>12645291</v>
          </cell>
          <cell r="J47" t="str">
            <v>Логистика</v>
          </cell>
          <cell r="K47">
            <v>0</v>
          </cell>
          <cell r="N47">
            <v>72.260000000000005</v>
          </cell>
          <cell r="AC47" t="str">
            <v>К клиенту при продаже</v>
          </cell>
        </row>
        <row r="48">
          <cell r="B48">
            <v>12645291</v>
          </cell>
          <cell r="J48" t="str">
            <v>Продажа</v>
          </cell>
          <cell r="K48">
            <v>2640</v>
          </cell>
          <cell r="N48">
            <v>0</v>
          </cell>
        </row>
        <row r="49">
          <cell r="B49">
            <v>21013827</v>
          </cell>
          <cell r="J49" t="str">
            <v>Логистика</v>
          </cell>
          <cell r="K49">
            <v>0</v>
          </cell>
          <cell r="N49">
            <v>51.32</v>
          </cell>
          <cell r="AC49" t="str">
            <v>К клиенту при продаже</v>
          </cell>
        </row>
        <row r="50">
          <cell r="B50">
            <v>21013827</v>
          </cell>
          <cell r="J50" t="str">
            <v>Продажа</v>
          </cell>
          <cell r="K50">
            <v>1291</v>
          </cell>
          <cell r="N50">
            <v>0</v>
          </cell>
        </row>
        <row r="51">
          <cell r="B51">
            <v>21013828</v>
          </cell>
          <cell r="J51" t="str">
            <v>Логистика</v>
          </cell>
          <cell r="K51">
            <v>0</v>
          </cell>
          <cell r="N51">
            <v>41.73</v>
          </cell>
          <cell r="AC51" t="str">
            <v>К клиенту при продаже</v>
          </cell>
        </row>
        <row r="52">
          <cell r="B52">
            <v>21013828</v>
          </cell>
          <cell r="J52" t="str">
            <v>Продажа</v>
          </cell>
          <cell r="K52">
            <v>1335</v>
          </cell>
          <cell r="N52">
            <v>0</v>
          </cell>
        </row>
        <row r="53">
          <cell r="B53">
            <v>12190436</v>
          </cell>
          <cell r="J53" t="str">
            <v>Логистика</v>
          </cell>
          <cell r="K53">
            <v>0</v>
          </cell>
          <cell r="N53">
            <v>31.33</v>
          </cell>
          <cell r="AC53" t="str">
            <v>К клиенту при продаже</v>
          </cell>
        </row>
        <row r="54">
          <cell r="B54">
            <v>12190436</v>
          </cell>
          <cell r="J54" t="str">
            <v>Продажа</v>
          </cell>
          <cell r="K54">
            <v>1320</v>
          </cell>
          <cell r="N54">
            <v>0</v>
          </cell>
        </row>
        <row r="55">
          <cell r="B55">
            <v>21013817</v>
          </cell>
          <cell r="J55" t="str">
            <v>Логистика</v>
          </cell>
          <cell r="K55">
            <v>0</v>
          </cell>
          <cell r="N55">
            <v>56.18</v>
          </cell>
          <cell r="AC55" t="str">
            <v>К клиенту при продаже</v>
          </cell>
        </row>
        <row r="56">
          <cell r="B56">
            <v>21013817</v>
          </cell>
          <cell r="J56" t="str">
            <v>Продажа</v>
          </cell>
          <cell r="K56">
            <v>1496</v>
          </cell>
          <cell r="N56">
            <v>0</v>
          </cell>
        </row>
        <row r="57">
          <cell r="B57">
            <v>23791011</v>
          </cell>
          <cell r="J57" t="str">
            <v>Логистика</v>
          </cell>
          <cell r="K57">
            <v>0</v>
          </cell>
          <cell r="N57">
            <v>42.37</v>
          </cell>
          <cell r="AC57" t="str">
            <v>К клиенту при отмене</v>
          </cell>
        </row>
        <row r="58">
          <cell r="B58">
            <v>23791011</v>
          </cell>
          <cell r="J58" t="str">
            <v>Логистика</v>
          </cell>
          <cell r="K58">
            <v>0</v>
          </cell>
          <cell r="N58">
            <v>49.85</v>
          </cell>
          <cell r="AC58" t="str">
            <v>От клиента при отмене</v>
          </cell>
        </row>
        <row r="59">
          <cell r="B59">
            <v>12190438</v>
          </cell>
          <cell r="J59" t="str">
            <v>Логистика</v>
          </cell>
          <cell r="K59">
            <v>0</v>
          </cell>
          <cell r="N59">
            <v>41.73</v>
          </cell>
          <cell r="AC59" t="str">
            <v>К клиенту при продаже</v>
          </cell>
        </row>
        <row r="60">
          <cell r="B60">
            <v>12190438</v>
          </cell>
          <cell r="J60" t="str">
            <v>Продажа</v>
          </cell>
          <cell r="K60">
            <v>1311</v>
          </cell>
          <cell r="N60">
            <v>0</v>
          </cell>
        </row>
        <row r="61">
          <cell r="B61">
            <v>12190430</v>
          </cell>
          <cell r="J61" t="str">
            <v>Логистика</v>
          </cell>
          <cell r="K61">
            <v>0</v>
          </cell>
          <cell r="N61">
            <v>37.700000000000003</v>
          </cell>
          <cell r="AC61" t="str">
            <v>К клиенту при отмене</v>
          </cell>
        </row>
        <row r="62">
          <cell r="B62">
            <v>12190430</v>
          </cell>
          <cell r="J62" t="str">
            <v>Логистика</v>
          </cell>
          <cell r="K62">
            <v>0</v>
          </cell>
          <cell r="N62">
            <v>29</v>
          </cell>
          <cell r="AC62" t="str">
            <v>От клиента при отмене</v>
          </cell>
        </row>
        <row r="63">
          <cell r="B63">
            <v>12190436</v>
          </cell>
          <cell r="J63" t="str">
            <v>Логистика</v>
          </cell>
          <cell r="K63">
            <v>0</v>
          </cell>
          <cell r="N63">
            <v>31.33</v>
          </cell>
          <cell r="AC63" t="str">
            <v>К клиенту при продаже</v>
          </cell>
        </row>
        <row r="64">
          <cell r="B64">
            <v>12190436</v>
          </cell>
          <cell r="J64" t="str">
            <v>Продажа</v>
          </cell>
          <cell r="K64">
            <v>1320</v>
          </cell>
          <cell r="N64">
            <v>0</v>
          </cell>
        </row>
        <row r="65">
          <cell r="B65">
            <v>12190441</v>
          </cell>
          <cell r="J65" t="str">
            <v>Логистика</v>
          </cell>
          <cell r="K65">
            <v>0</v>
          </cell>
          <cell r="N65">
            <v>64.13</v>
          </cell>
          <cell r="AC65" t="str">
            <v>К клиенту при продаже</v>
          </cell>
        </row>
        <row r="66">
          <cell r="B66">
            <v>12190441</v>
          </cell>
          <cell r="J66" t="str">
            <v>Продажа</v>
          </cell>
          <cell r="K66">
            <v>1349</v>
          </cell>
          <cell r="N66">
            <v>0</v>
          </cell>
        </row>
        <row r="67">
          <cell r="B67">
            <v>23791008</v>
          </cell>
          <cell r="J67" t="str">
            <v>Логистика</v>
          </cell>
          <cell r="K67">
            <v>0</v>
          </cell>
          <cell r="N67">
            <v>52</v>
          </cell>
          <cell r="AC67" t="str">
            <v>К клиенту при отмене</v>
          </cell>
        </row>
        <row r="68">
          <cell r="B68">
            <v>23791008</v>
          </cell>
          <cell r="J68" t="str">
            <v>Логистика</v>
          </cell>
          <cell r="K68">
            <v>0</v>
          </cell>
          <cell r="N68">
            <v>50</v>
          </cell>
          <cell r="AC68" t="str">
            <v>От клиента при отмене</v>
          </cell>
        </row>
        <row r="69">
          <cell r="B69">
            <v>21013817</v>
          </cell>
          <cell r="J69" t="str">
            <v>Логистика</v>
          </cell>
          <cell r="K69">
            <v>0</v>
          </cell>
          <cell r="N69">
            <v>56.19</v>
          </cell>
          <cell r="AC69" t="str">
            <v>К клиенту при продаже</v>
          </cell>
        </row>
        <row r="70">
          <cell r="B70">
            <v>21013817</v>
          </cell>
          <cell r="J70" t="str">
            <v>Продажа</v>
          </cell>
          <cell r="K70">
            <v>1540</v>
          </cell>
          <cell r="N70">
            <v>0</v>
          </cell>
        </row>
        <row r="71">
          <cell r="B71">
            <v>12190429</v>
          </cell>
          <cell r="J71" t="str">
            <v>Логистика</v>
          </cell>
          <cell r="K71">
            <v>0</v>
          </cell>
          <cell r="N71">
            <v>34.94</v>
          </cell>
          <cell r="AC71" t="str">
            <v>К клиенту при продаже</v>
          </cell>
        </row>
        <row r="72">
          <cell r="B72">
            <v>12190429</v>
          </cell>
          <cell r="J72" t="str">
            <v>Продажа</v>
          </cell>
          <cell r="K72">
            <v>1496</v>
          </cell>
          <cell r="N72">
            <v>0</v>
          </cell>
        </row>
        <row r="73">
          <cell r="B73">
            <v>12190436</v>
          </cell>
          <cell r="J73" t="str">
            <v>Логистика</v>
          </cell>
          <cell r="K73">
            <v>0</v>
          </cell>
          <cell r="N73">
            <v>41.73</v>
          </cell>
          <cell r="AC73" t="str">
            <v>К клиенту при продаже</v>
          </cell>
        </row>
        <row r="74">
          <cell r="B74">
            <v>12190436</v>
          </cell>
          <cell r="J74" t="str">
            <v>Продажа</v>
          </cell>
          <cell r="K74">
            <v>1320</v>
          </cell>
          <cell r="N74">
            <v>0</v>
          </cell>
        </row>
        <row r="75">
          <cell r="B75">
            <v>12190436</v>
          </cell>
          <cell r="J75" t="str">
            <v>Логистика</v>
          </cell>
          <cell r="K75">
            <v>0</v>
          </cell>
          <cell r="N75">
            <v>72.930000000000007</v>
          </cell>
          <cell r="AC75" t="str">
            <v>К клиенту при продаже</v>
          </cell>
        </row>
        <row r="76">
          <cell r="B76">
            <v>12190436</v>
          </cell>
          <cell r="J76" t="str">
            <v>Компенсация скидки по программе лояльности</v>
          </cell>
          <cell r="K76">
            <v>0</v>
          </cell>
          <cell r="N76">
            <v>0</v>
          </cell>
          <cell r="AC76" t="str">
            <v>Компенсация скидки по программе лояльности</v>
          </cell>
        </row>
        <row r="77">
          <cell r="B77">
            <v>12190436</v>
          </cell>
          <cell r="J77" t="str">
            <v>Продажа</v>
          </cell>
          <cell r="K77">
            <v>1320</v>
          </cell>
          <cell r="N77">
            <v>0</v>
          </cell>
        </row>
        <row r="78">
          <cell r="B78">
            <v>12190442</v>
          </cell>
          <cell r="J78" t="str">
            <v>Логистика</v>
          </cell>
          <cell r="K78">
            <v>0</v>
          </cell>
          <cell r="N78">
            <v>36.14</v>
          </cell>
          <cell r="AC78" t="str">
            <v>К клиенту при продаже</v>
          </cell>
        </row>
        <row r="79">
          <cell r="B79">
            <v>12190442</v>
          </cell>
          <cell r="J79" t="str">
            <v>Продажа</v>
          </cell>
          <cell r="K79">
            <v>1496</v>
          </cell>
          <cell r="N79">
            <v>0</v>
          </cell>
        </row>
        <row r="80">
          <cell r="B80">
            <v>23791008</v>
          </cell>
          <cell r="J80" t="str">
            <v>Логистика</v>
          </cell>
          <cell r="K80">
            <v>0</v>
          </cell>
          <cell r="N80">
            <v>31.29</v>
          </cell>
          <cell r="AC80" t="str">
            <v>К клиенту при продаже</v>
          </cell>
        </row>
        <row r="81">
          <cell r="B81">
            <v>23791008</v>
          </cell>
          <cell r="J81" t="str">
            <v>Продажа</v>
          </cell>
          <cell r="K81">
            <v>925</v>
          </cell>
          <cell r="N81">
            <v>0</v>
          </cell>
        </row>
        <row r="82">
          <cell r="B82">
            <v>21013819</v>
          </cell>
          <cell r="J82" t="str">
            <v>Логистика</v>
          </cell>
          <cell r="K82">
            <v>0</v>
          </cell>
          <cell r="N82">
            <v>34.94</v>
          </cell>
          <cell r="AC82" t="str">
            <v>К клиенту при продаже</v>
          </cell>
        </row>
        <row r="83">
          <cell r="B83">
            <v>21013819</v>
          </cell>
          <cell r="J83" t="str">
            <v>Продажа</v>
          </cell>
          <cell r="K83">
            <v>1465</v>
          </cell>
          <cell r="N83">
            <v>0</v>
          </cell>
        </row>
        <row r="84">
          <cell r="B84">
            <v>466534459</v>
          </cell>
          <cell r="J84" t="str">
            <v>Логистика</v>
          </cell>
          <cell r="K84">
            <v>0</v>
          </cell>
          <cell r="N84">
            <v>58.06</v>
          </cell>
          <cell r="AC84" t="str">
            <v>К клиенту при продаже</v>
          </cell>
        </row>
        <row r="85">
          <cell r="B85">
            <v>466534459</v>
          </cell>
          <cell r="J85" t="str">
            <v>Продажа</v>
          </cell>
          <cell r="K85">
            <v>621</v>
          </cell>
          <cell r="N85">
            <v>0</v>
          </cell>
        </row>
        <row r="86">
          <cell r="B86">
            <v>23791012</v>
          </cell>
          <cell r="J86" t="str">
            <v>Логистика</v>
          </cell>
          <cell r="K86">
            <v>0</v>
          </cell>
          <cell r="N86">
            <v>59.9</v>
          </cell>
          <cell r="AC86" t="str">
            <v>К клиенту при продаже</v>
          </cell>
        </row>
        <row r="87">
          <cell r="B87">
            <v>23791012</v>
          </cell>
          <cell r="J87" t="str">
            <v>Продажа</v>
          </cell>
          <cell r="K87">
            <v>850</v>
          </cell>
          <cell r="N87">
            <v>0</v>
          </cell>
        </row>
        <row r="88">
          <cell r="B88">
            <v>12190436</v>
          </cell>
          <cell r="J88" t="str">
            <v>Логистика</v>
          </cell>
          <cell r="K88">
            <v>0</v>
          </cell>
          <cell r="N88">
            <v>31.33</v>
          </cell>
          <cell r="AC88" t="str">
            <v>К клиенту при продаже</v>
          </cell>
        </row>
        <row r="89">
          <cell r="B89">
            <v>12190436</v>
          </cell>
          <cell r="J89" t="str">
            <v>Продажа</v>
          </cell>
          <cell r="K89">
            <v>1320</v>
          </cell>
          <cell r="N89">
            <v>0</v>
          </cell>
        </row>
        <row r="90">
          <cell r="B90">
            <v>21013824</v>
          </cell>
          <cell r="J90" t="str">
            <v>Логистика</v>
          </cell>
          <cell r="K90">
            <v>0</v>
          </cell>
          <cell r="N90">
            <v>51.32</v>
          </cell>
          <cell r="AC90" t="str">
            <v>К клиенту при продаже</v>
          </cell>
        </row>
        <row r="91">
          <cell r="B91">
            <v>21013824</v>
          </cell>
          <cell r="J91" t="str">
            <v>Продажа</v>
          </cell>
          <cell r="K91">
            <v>1290</v>
          </cell>
          <cell r="N91">
            <v>0</v>
          </cell>
        </row>
        <row r="92">
          <cell r="B92">
            <v>415453606</v>
          </cell>
          <cell r="J92" t="str">
            <v>Логистика</v>
          </cell>
          <cell r="K92">
            <v>0</v>
          </cell>
          <cell r="N92">
            <v>96.42</v>
          </cell>
          <cell r="AC92" t="str">
            <v>К клиенту при продаже</v>
          </cell>
        </row>
        <row r="93">
          <cell r="B93">
            <v>415453606</v>
          </cell>
          <cell r="J93" t="str">
            <v>Сумма удержанная за начисленные баллы программы лояльности</v>
          </cell>
          <cell r="K93">
            <v>0</v>
          </cell>
          <cell r="N93">
            <v>0</v>
          </cell>
          <cell r="AC93" t="str">
            <v>Сумма удержанная за начисленные баллы программы лояльности</v>
          </cell>
        </row>
        <row r="94">
          <cell r="B94">
            <v>415453606</v>
          </cell>
          <cell r="J94" t="str">
            <v>Стоимость участия в программе лояльности</v>
          </cell>
          <cell r="K94">
            <v>0</v>
          </cell>
          <cell r="N94">
            <v>0</v>
          </cell>
          <cell r="AC94" t="str">
            <v>Стоимость участия в программе лояльности</v>
          </cell>
        </row>
        <row r="95">
          <cell r="B95">
            <v>415453606</v>
          </cell>
          <cell r="J95" t="str">
            <v>Продажа</v>
          </cell>
          <cell r="K95">
            <v>820</v>
          </cell>
          <cell r="N95">
            <v>0</v>
          </cell>
        </row>
        <row r="96">
          <cell r="B96">
            <v>114905354</v>
          </cell>
          <cell r="J96" t="str">
            <v>Логистика</v>
          </cell>
          <cell r="K96">
            <v>0</v>
          </cell>
          <cell r="N96">
            <v>65.34</v>
          </cell>
          <cell r="AC96" t="str">
            <v>К клиенту при продаже</v>
          </cell>
        </row>
        <row r="97">
          <cell r="B97">
            <v>114905354</v>
          </cell>
          <cell r="J97" t="str">
            <v>Продажа</v>
          </cell>
          <cell r="K97">
            <v>925</v>
          </cell>
          <cell r="N97">
            <v>0</v>
          </cell>
        </row>
        <row r="98">
          <cell r="B98">
            <v>23791011</v>
          </cell>
          <cell r="J98" t="str">
            <v>Логистика</v>
          </cell>
          <cell r="K98">
            <v>0</v>
          </cell>
          <cell r="N98">
            <v>109.77</v>
          </cell>
          <cell r="AC98" t="str">
            <v>К клиенту при продаже</v>
          </cell>
        </row>
        <row r="99">
          <cell r="B99">
            <v>23791011</v>
          </cell>
          <cell r="J99" t="str">
            <v>Продажа</v>
          </cell>
          <cell r="K99">
            <v>1067</v>
          </cell>
          <cell r="N99">
            <v>0</v>
          </cell>
        </row>
        <row r="100">
          <cell r="B100">
            <v>23791011</v>
          </cell>
          <cell r="J100" t="str">
            <v>Логистика</v>
          </cell>
          <cell r="K100">
            <v>0</v>
          </cell>
          <cell r="N100">
            <v>54.93</v>
          </cell>
          <cell r="AC100" t="str">
            <v>К клиенту при продаже</v>
          </cell>
        </row>
        <row r="101">
          <cell r="B101">
            <v>23791011</v>
          </cell>
          <cell r="J101" t="str">
            <v>Продажа</v>
          </cell>
          <cell r="K101">
            <v>1075</v>
          </cell>
          <cell r="N101">
            <v>0</v>
          </cell>
        </row>
        <row r="102">
          <cell r="B102">
            <v>23791013</v>
          </cell>
          <cell r="J102" t="str">
            <v>Логистика</v>
          </cell>
          <cell r="K102">
            <v>0</v>
          </cell>
          <cell r="N102">
            <v>58.58</v>
          </cell>
          <cell r="AC102" t="str">
            <v>К клиенту при продаже</v>
          </cell>
        </row>
        <row r="103">
          <cell r="B103">
            <v>23791013</v>
          </cell>
          <cell r="J103" t="str">
            <v>Продажа</v>
          </cell>
          <cell r="K103">
            <v>875</v>
          </cell>
          <cell r="N103">
            <v>0</v>
          </cell>
        </row>
        <row r="104">
          <cell r="B104">
            <v>21013821</v>
          </cell>
          <cell r="J104" t="str">
            <v>Логистика</v>
          </cell>
          <cell r="K104">
            <v>0</v>
          </cell>
          <cell r="N104">
            <v>56.18</v>
          </cell>
          <cell r="AC104" t="str">
            <v>К клиенту при продаже</v>
          </cell>
        </row>
        <row r="105">
          <cell r="B105">
            <v>21013821</v>
          </cell>
          <cell r="J105" t="str">
            <v>Продажа</v>
          </cell>
          <cell r="K105">
            <v>1496</v>
          </cell>
          <cell r="N105">
            <v>0</v>
          </cell>
        </row>
        <row r="106">
          <cell r="B106">
            <v>21013819</v>
          </cell>
          <cell r="J106" t="str">
            <v>Логистика</v>
          </cell>
          <cell r="K106">
            <v>0</v>
          </cell>
          <cell r="N106">
            <v>37.840000000000003</v>
          </cell>
          <cell r="AC106" t="str">
            <v>К клиенту при продаже</v>
          </cell>
        </row>
        <row r="107">
          <cell r="B107">
            <v>21013819</v>
          </cell>
          <cell r="J107" t="str">
            <v>Продажа</v>
          </cell>
          <cell r="K107">
            <v>1455</v>
          </cell>
          <cell r="N107">
            <v>0</v>
          </cell>
        </row>
        <row r="108">
          <cell r="B108">
            <v>12190431</v>
          </cell>
          <cell r="J108" t="str">
            <v>Логистика</v>
          </cell>
          <cell r="K108">
            <v>0</v>
          </cell>
          <cell r="N108">
            <v>40.74</v>
          </cell>
          <cell r="AC108" t="str">
            <v>К клиенту при продаже</v>
          </cell>
        </row>
        <row r="109">
          <cell r="B109">
            <v>12190431</v>
          </cell>
          <cell r="J109" t="str">
            <v>Продажа</v>
          </cell>
          <cell r="K109">
            <v>1496</v>
          </cell>
          <cell r="N109">
            <v>0</v>
          </cell>
        </row>
        <row r="110">
          <cell r="B110">
            <v>415555134</v>
          </cell>
          <cell r="J110" t="str">
            <v>Логистика</v>
          </cell>
          <cell r="K110">
            <v>0</v>
          </cell>
          <cell r="N110">
            <v>67.510000000000005</v>
          </cell>
          <cell r="AC110" t="str">
            <v>К клиенту при продаже</v>
          </cell>
        </row>
        <row r="111">
          <cell r="B111">
            <v>415555134</v>
          </cell>
          <cell r="J111" t="str">
            <v>Сумма удержанная за начисленные баллы программы лояльности</v>
          </cell>
          <cell r="K111">
            <v>0</v>
          </cell>
          <cell r="N111">
            <v>0</v>
          </cell>
          <cell r="AC111" t="str">
            <v>Сумма удержанная за начисленные баллы программы лояльности</v>
          </cell>
        </row>
        <row r="112">
          <cell r="B112">
            <v>415555134</v>
          </cell>
          <cell r="J112" t="str">
            <v>Стоимость участия в программе лояльности</v>
          </cell>
          <cell r="K112">
            <v>0</v>
          </cell>
          <cell r="N112">
            <v>0</v>
          </cell>
          <cell r="AC112" t="str">
            <v>Стоимость участия в программе лояльности</v>
          </cell>
        </row>
        <row r="113">
          <cell r="B113">
            <v>415555134</v>
          </cell>
          <cell r="J113" t="str">
            <v>Продажа</v>
          </cell>
          <cell r="K113">
            <v>820</v>
          </cell>
          <cell r="N113">
            <v>0</v>
          </cell>
        </row>
        <row r="114">
          <cell r="B114">
            <v>21013823</v>
          </cell>
          <cell r="J114" t="str">
            <v>Логистика</v>
          </cell>
          <cell r="K114">
            <v>0</v>
          </cell>
          <cell r="N114">
            <v>32.119999999999997</v>
          </cell>
          <cell r="AC114" t="str">
            <v>К клиенту при продаже</v>
          </cell>
        </row>
        <row r="115">
          <cell r="B115">
            <v>21013823</v>
          </cell>
          <cell r="J115" t="str">
            <v>Продажа</v>
          </cell>
          <cell r="K115">
            <v>1273</v>
          </cell>
          <cell r="N115">
            <v>0</v>
          </cell>
        </row>
        <row r="116">
          <cell r="B116">
            <v>12190438</v>
          </cell>
          <cell r="J116" t="str">
            <v>Логистика</v>
          </cell>
          <cell r="K116">
            <v>0</v>
          </cell>
          <cell r="N116">
            <v>41.6</v>
          </cell>
          <cell r="AC116" t="str">
            <v>К клиенту при продаже</v>
          </cell>
        </row>
        <row r="117">
          <cell r="B117">
            <v>12190438</v>
          </cell>
          <cell r="J117" t="str">
            <v>Продажа</v>
          </cell>
          <cell r="K117">
            <v>1349</v>
          </cell>
          <cell r="N117">
            <v>0</v>
          </cell>
        </row>
        <row r="118">
          <cell r="B118">
            <v>23791012</v>
          </cell>
          <cell r="J118" t="str">
            <v>Логистика</v>
          </cell>
          <cell r="K118">
            <v>0</v>
          </cell>
          <cell r="N118">
            <v>99.78</v>
          </cell>
          <cell r="AC118" t="str">
            <v>К клиенту при продаже</v>
          </cell>
        </row>
        <row r="119">
          <cell r="B119">
            <v>23791012</v>
          </cell>
          <cell r="J119" t="str">
            <v>Продажа</v>
          </cell>
          <cell r="K119">
            <v>875</v>
          </cell>
          <cell r="N119">
            <v>0</v>
          </cell>
        </row>
        <row r="120">
          <cell r="B120">
            <v>23791012</v>
          </cell>
          <cell r="J120" t="str">
            <v>Логистика</v>
          </cell>
          <cell r="K120">
            <v>0</v>
          </cell>
          <cell r="N120">
            <v>64.88</v>
          </cell>
          <cell r="AC120" t="str">
            <v>К клиенту при продаже</v>
          </cell>
        </row>
        <row r="121">
          <cell r="B121">
            <v>23791012</v>
          </cell>
          <cell r="J121" t="str">
            <v>Продажа</v>
          </cell>
          <cell r="K121">
            <v>841.5</v>
          </cell>
          <cell r="N121">
            <v>0</v>
          </cell>
        </row>
        <row r="122">
          <cell r="B122">
            <v>21013821</v>
          </cell>
          <cell r="J122" t="str">
            <v>Логистика</v>
          </cell>
          <cell r="K122">
            <v>0</v>
          </cell>
          <cell r="N122">
            <v>60.85</v>
          </cell>
          <cell r="AC122" t="str">
            <v>К клиенту при продаже</v>
          </cell>
        </row>
        <row r="123">
          <cell r="B123">
            <v>21013821</v>
          </cell>
          <cell r="J123" t="str">
            <v>Продажа</v>
          </cell>
          <cell r="K123">
            <v>1496</v>
          </cell>
          <cell r="N123">
            <v>0</v>
          </cell>
        </row>
        <row r="124">
          <cell r="B124">
            <v>21013828</v>
          </cell>
          <cell r="J124" t="str">
            <v>Логистика</v>
          </cell>
          <cell r="K124">
            <v>0</v>
          </cell>
          <cell r="N124">
            <v>48.13</v>
          </cell>
          <cell r="AC124" t="str">
            <v>К клиенту при продаже</v>
          </cell>
        </row>
        <row r="125">
          <cell r="B125">
            <v>21013828</v>
          </cell>
          <cell r="J125" t="str">
            <v>Продажа</v>
          </cell>
          <cell r="K125">
            <v>1335</v>
          </cell>
          <cell r="N125">
            <v>0</v>
          </cell>
        </row>
        <row r="126">
          <cell r="B126">
            <v>12190439</v>
          </cell>
          <cell r="J126" t="str">
            <v>Логистика</v>
          </cell>
          <cell r="K126">
            <v>0</v>
          </cell>
          <cell r="N126">
            <v>70.52</v>
          </cell>
          <cell r="AC126" t="str">
            <v>К клиенту при продаже</v>
          </cell>
        </row>
        <row r="127">
          <cell r="B127">
            <v>12190439</v>
          </cell>
          <cell r="J127" t="str">
            <v>Продажа</v>
          </cell>
          <cell r="K127">
            <v>1291</v>
          </cell>
          <cell r="N127">
            <v>0</v>
          </cell>
        </row>
        <row r="128">
          <cell r="B128">
            <v>415453606</v>
          </cell>
          <cell r="J128" t="str">
            <v>Логистика</v>
          </cell>
          <cell r="K128">
            <v>0</v>
          </cell>
          <cell r="N128">
            <v>72.33</v>
          </cell>
          <cell r="AC128" t="str">
            <v>К клиенту при продаже</v>
          </cell>
        </row>
        <row r="129">
          <cell r="B129">
            <v>415453606</v>
          </cell>
          <cell r="J129" t="str">
            <v>Продажа</v>
          </cell>
          <cell r="K129">
            <v>820</v>
          </cell>
          <cell r="N129">
            <v>0</v>
          </cell>
        </row>
        <row r="130">
          <cell r="B130">
            <v>12190431</v>
          </cell>
          <cell r="J130" t="str">
            <v>Логистика</v>
          </cell>
          <cell r="K130">
            <v>0</v>
          </cell>
          <cell r="N130">
            <v>40.74</v>
          </cell>
          <cell r="AC130" t="str">
            <v>К клиенту при продаже</v>
          </cell>
        </row>
        <row r="131">
          <cell r="B131">
            <v>12190431</v>
          </cell>
          <cell r="J131" t="str">
            <v>Продажа</v>
          </cell>
          <cell r="K131">
            <v>1496</v>
          </cell>
          <cell r="N131">
            <v>0</v>
          </cell>
        </row>
        <row r="132">
          <cell r="B132">
            <v>23791010</v>
          </cell>
          <cell r="J132" t="str">
            <v>Логистика</v>
          </cell>
          <cell r="K132">
            <v>0</v>
          </cell>
          <cell r="N132">
            <v>31.2</v>
          </cell>
          <cell r="AC132" t="str">
            <v>К клиенту при отмене</v>
          </cell>
        </row>
        <row r="133">
          <cell r="B133">
            <v>23791010</v>
          </cell>
          <cell r="J133" t="str">
            <v>Логистика</v>
          </cell>
          <cell r="K133">
            <v>0</v>
          </cell>
          <cell r="N133">
            <v>50</v>
          </cell>
          <cell r="AC133" t="str">
            <v>От клиента при отмене</v>
          </cell>
        </row>
        <row r="134">
          <cell r="B134">
            <v>23791010</v>
          </cell>
          <cell r="J134" t="str">
            <v>Логистика</v>
          </cell>
          <cell r="K134">
            <v>0</v>
          </cell>
          <cell r="N134">
            <v>31.2</v>
          </cell>
          <cell r="AC134" t="str">
            <v>К клиенту при отмене</v>
          </cell>
        </row>
        <row r="135">
          <cell r="B135">
            <v>23791010</v>
          </cell>
          <cell r="J135" t="str">
            <v>Логистика</v>
          </cell>
          <cell r="K135">
            <v>0</v>
          </cell>
          <cell r="N135">
            <v>50</v>
          </cell>
          <cell r="AC135" t="str">
            <v>От клиента при отмене</v>
          </cell>
        </row>
        <row r="136">
          <cell r="B136">
            <v>12190431</v>
          </cell>
          <cell r="J136" t="str">
            <v>Логистика</v>
          </cell>
          <cell r="K136">
            <v>0</v>
          </cell>
          <cell r="N136">
            <v>32.04</v>
          </cell>
          <cell r="AC136" t="str">
            <v>К клиенту при продаже</v>
          </cell>
        </row>
        <row r="137">
          <cell r="B137">
            <v>12190431</v>
          </cell>
          <cell r="J137" t="str">
            <v>Продажа</v>
          </cell>
          <cell r="K137">
            <v>1481.04</v>
          </cell>
          <cell r="N137">
            <v>0</v>
          </cell>
        </row>
        <row r="138">
          <cell r="B138">
            <v>23791006</v>
          </cell>
          <cell r="J138" t="str">
            <v>Логистика</v>
          </cell>
          <cell r="K138">
            <v>0</v>
          </cell>
          <cell r="N138">
            <v>33.799999999999997</v>
          </cell>
          <cell r="AC138" t="str">
            <v>К клиенту при продаже</v>
          </cell>
        </row>
        <row r="139">
          <cell r="B139">
            <v>23791006</v>
          </cell>
          <cell r="J139" t="str">
            <v>Продажа</v>
          </cell>
          <cell r="K139">
            <v>900</v>
          </cell>
          <cell r="N139">
            <v>0</v>
          </cell>
        </row>
        <row r="140">
          <cell r="B140">
            <v>12190429</v>
          </cell>
          <cell r="J140" t="str">
            <v>Логистика</v>
          </cell>
          <cell r="K140">
            <v>0</v>
          </cell>
          <cell r="N140">
            <v>65.39</v>
          </cell>
          <cell r="AC140" t="str">
            <v>К клиенту при продаже</v>
          </cell>
        </row>
        <row r="141">
          <cell r="B141">
            <v>12190429</v>
          </cell>
          <cell r="J141" t="str">
            <v>Продажа</v>
          </cell>
          <cell r="K141">
            <v>1469</v>
          </cell>
          <cell r="N141">
            <v>0</v>
          </cell>
        </row>
        <row r="142">
          <cell r="B142">
            <v>23791010</v>
          </cell>
          <cell r="J142" t="str">
            <v>Логистика</v>
          </cell>
          <cell r="K142">
            <v>0</v>
          </cell>
          <cell r="N142">
            <v>54.68</v>
          </cell>
          <cell r="AC142" t="str">
            <v>К клиенту при продаже</v>
          </cell>
        </row>
        <row r="143">
          <cell r="B143">
            <v>23791010</v>
          </cell>
          <cell r="J143" t="str">
            <v>Продажа</v>
          </cell>
          <cell r="K143">
            <v>850</v>
          </cell>
          <cell r="N143">
            <v>0</v>
          </cell>
        </row>
        <row r="144">
          <cell r="B144">
            <v>12190436</v>
          </cell>
          <cell r="J144" t="str">
            <v>Логистика</v>
          </cell>
          <cell r="K144">
            <v>0</v>
          </cell>
          <cell r="N144">
            <v>27.43</v>
          </cell>
          <cell r="AC144" t="str">
            <v>К клиенту при продаже</v>
          </cell>
        </row>
        <row r="145">
          <cell r="B145">
            <v>12190436</v>
          </cell>
          <cell r="J145" t="str">
            <v>Продажа</v>
          </cell>
          <cell r="K145">
            <v>1311</v>
          </cell>
          <cell r="N145">
            <v>0</v>
          </cell>
        </row>
        <row r="146">
          <cell r="B146">
            <v>612997470</v>
          </cell>
          <cell r="J146" t="str">
            <v>Логистика</v>
          </cell>
          <cell r="K146">
            <v>0</v>
          </cell>
          <cell r="N146">
            <v>54.66</v>
          </cell>
          <cell r="AC146" t="str">
            <v>К клиенту при продаже</v>
          </cell>
        </row>
        <row r="147">
          <cell r="B147">
            <v>612997470</v>
          </cell>
          <cell r="J147" t="str">
            <v>Продажа</v>
          </cell>
          <cell r="K147">
            <v>621</v>
          </cell>
          <cell r="N147">
            <v>0</v>
          </cell>
        </row>
        <row r="148">
          <cell r="B148">
            <v>466545270</v>
          </cell>
          <cell r="J148" t="str">
            <v>Логистика</v>
          </cell>
          <cell r="K148">
            <v>0</v>
          </cell>
          <cell r="N148">
            <v>58.06</v>
          </cell>
          <cell r="AC148" t="str">
            <v>К клиенту при продаже</v>
          </cell>
        </row>
        <row r="149">
          <cell r="B149">
            <v>466545270</v>
          </cell>
          <cell r="J149" t="str">
            <v>Продажа</v>
          </cell>
          <cell r="K149">
            <v>644</v>
          </cell>
          <cell r="N149">
            <v>0</v>
          </cell>
        </row>
        <row r="150">
          <cell r="B150">
            <v>12190430</v>
          </cell>
          <cell r="J150" t="str">
            <v>Логистика</v>
          </cell>
          <cell r="K150">
            <v>0</v>
          </cell>
          <cell r="N150">
            <v>34.94</v>
          </cell>
          <cell r="AC150" t="str">
            <v>К клиенту при продаже</v>
          </cell>
        </row>
        <row r="151">
          <cell r="B151">
            <v>12190430</v>
          </cell>
          <cell r="J151" t="str">
            <v>Продажа</v>
          </cell>
          <cell r="K151">
            <v>1496</v>
          </cell>
          <cell r="N151">
            <v>0</v>
          </cell>
        </row>
        <row r="152">
          <cell r="B152">
            <v>12190436</v>
          </cell>
          <cell r="J152" t="str">
            <v>Логистика</v>
          </cell>
          <cell r="K152">
            <v>0</v>
          </cell>
          <cell r="N152">
            <v>31.33</v>
          </cell>
          <cell r="AC152" t="str">
            <v>К клиенту при продаже</v>
          </cell>
        </row>
        <row r="153">
          <cell r="B153">
            <v>12190436</v>
          </cell>
          <cell r="J153" t="str">
            <v>Продажа</v>
          </cell>
          <cell r="K153">
            <v>1306.8</v>
          </cell>
          <cell r="N153">
            <v>0</v>
          </cell>
        </row>
        <row r="154">
          <cell r="B154">
            <v>23791014</v>
          </cell>
          <cell r="J154" t="str">
            <v>Логистика</v>
          </cell>
          <cell r="K154">
            <v>0</v>
          </cell>
          <cell r="N154">
            <v>26.1</v>
          </cell>
          <cell r="AC154" t="str">
            <v>К клиенту при продаже</v>
          </cell>
        </row>
        <row r="155">
          <cell r="B155">
            <v>23791014</v>
          </cell>
          <cell r="J155" t="str">
            <v>Продажа</v>
          </cell>
          <cell r="K155">
            <v>1075</v>
          </cell>
          <cell r="N155">
            <v>0</v>
          </cell>
        </row>
        <row r="156">
          <cell r="B156">
            <v>415453606</v>
          </cell>
          <cell r="J156" t="str">
            <v>Логистика</v>
          </cell>
          <cell r="K156">
            <v>0</v>
          </cell>
          <cell r="N156">
            <v>77.150000000000006</v>
          </cell>
          <cell r="AC156" t="str">
            <v>К клиенту при продаже</v>
          </cell>
        </row>
        <row r="157">
          <cell r="B157">
            <v>415453606</v>
          </cell>
          <cell r="J157" t="str">
            <v>Продажа</v>
          </cell>
          <cell r="K157">
            <v>820</v>
          </cell>
          <cell r="N157">
            <v>0</v>
          </cell>
        </row>
        <row r="158">
          <cell r="B158">
            <v>12190438</v>
          </cell>
          <cell r="J158" t="str">
            <v>Логистика</v>
          </cell>
          <cell r="K158">
            <v>0</v>
          </cell>
          <cell r="N158">
            <v>38.53</v>
          </cell>
          <cell r="AC158" t="str">
            <v>К клиенту при продаже</v>
          </cell>
        </row>
        <row r="159">
          <cell r="B159">
            <v>12190438</v>
          </cell>
          <cell r="J159" t="str">
            <v>Продажа</v>
          </cell>
          <cell r="K159">
            <v>1320</v>
          </cell>
          <cell r="N159">
            <v>0</v>
          </cell>
        </row>
        <row r="160">
          <cell r="B160">
            <v>23791015</v>
          </cell>
          <cell r="J160" t="str">
            <v>Логистика</v>
          </cell>
          <cell r="K160">
            <v>0</v>
          </cell>
          <cell r="N160">
            <v>33.89</v>
          </cell>
          <cell r="AC160" t="str">
            <v>К клиенту при продаже</v>
          </cell>
        </row>
        <row r="161">
          <cell r="B161">
            <v>23791015</v>
          </cell>
          <cell r="J161" t="str">
            <v>Продажа</v>
          </cell>
          <cell r="K161">
            <v>925</v>
          </cell>
          <cell r="N161">
            <v>0</v>
          </cell>
        </row>
        <row r="162">
          <cell r="B162">
            <v>100637611</v>
          </cell>
          <cell r="J162" t="str">
            <v>Логистика</v>
          </cell>
          <cell r="K162">
            <v>0</v>
          </cell>
          <cell r="N162">
            <v>39.08</v>
          </cell>
          <cell r="AC162" t="str">
            <v>К клиенту при продаже</v>
          </cell>
        </row>
        <row r="163">
          <cell r="B163">
            <v>100637611</v>
          </cell>
          <cell r="J163" t="str">
            <v>Продажа</v>
          </cell>
          <cell r="K163">
            <v>850</v>
          </cell>
          <cell r="N163">
            <v>0</v>
          </cell>
        </row>
        <row r="164">
          <cell r="B164">
            <v>12190430</v>
          </cell>
          <cell r="J164" t="str">
            <v>Логистика</v>
          </cell>
          <cell r="K164">
            <v>0</v>
          </cell>
          <cell r="N164">
            <v>34.94</v>
          </cell>
          <cell r="AC164" t="str">
            <v>К клиенту при продаже</v>
          </cell>
        </row>
        <row r="165">
          <cell r="B165">
            <v>12190430</v>
          </cell>
          <cell r="J165" t="str">
            <v>Продажа</v>
          </cell>
          <cell r="K165">
            <v>1486</v>
          </cell>
          <cell r="N165">
            <v>0</v>
          </cell>
        </row>
        <row r="166">
          <cell r="B166">
            <v>12190437</v>
          </cell>
          <cell r="J166" t="str">
            <v>Логистика</v>
          </cell>
          <cell r="K166">
            <v>0</v>
          </cell>
          <cell r="N166">
            <v>54.72</v>
          </cell>
          <cell r="AC166" t="str">
            <v>К клиенту при продаже</v>
          </cell>
        </row>
        <row r="167">
          <cell r="B167">
            <v>12190437</v>
          </cell>
          <cell r="J167" t="str">
            <v>Продажа</v>
          </cell>
          <cell r="K167">
            <v>1291</v>
          </cell>
          <cell r="N167">
            <v>0</v>
          </cell>
        </row>
        <row r="168">
          <cell r="B168">
            <v>23791014</v>
          </cell>
          <cell r="J168" t="str">
            <v>Логистика</v>
          </cell>
          <cell r="K168">
            <v>0</v>
          </cell>
          <cell r="N168">
            <v>58.6</v>
          </cell>
          <cell r="AC168" t="str">
            <v>К клиенту при продаже</v>
          </cell>
        </row>
        <row r="169">
          <cell r="B169">
            <v>23791014</v>
          </cell>
          <cell r="J169" t="str">
            <v>Продажа</v>
          </cell>
          <cell r="K169">
            <v>1075</v>
          </cell>
          <cell r="N169">
            <v>0</v>
          </cell>
        </row>
        <row r="170">
          <cell r="B170">
            <v>38674959</v>
          </cell>
          <cell r="J170" t="str">
            <v>Логистика</v>
          </cell>
          <cell r="K170">
            <v>0</v>
          </cell>
          <cell r="N170">
            <v>48.26</v>
          </cell>
          <cell r="AC170" t="str">
            <v>К клиенту при продаже</v>
          </cell>
        </row>
        <row r="171">
          <cell r="B171">
            <v>38674959</v>
          </cell>
          <cell r="J171" t="str">
            <v>Сумма удержанная за начисленные баллы программы лояльности</v>
          </cell>
          <cell r="K171">
            <v>0</v>
          </cell>
          <cell r="N171">
            <v>0</v>
          </cell>
          <cell r="AC171" t="str">
            <v>Сумма удержанная за начисленные баллы программы лояльности</v>
          </cell>
        </row>
        <row r="172">
          <cell r="B172">
            <v>38674959</v>
          </cell>
          <cell r="J172" t="str">
            <v>Стоимость участия в программе лояльности</v>
          </cell>
          <cell r="K172">
            <v>0</v>
          </cell>
          <cell r="N172">
            <v>0</v>
          </cell>
          <cell r="AC172" t="str">
            <v>Стоимость участия в программе лояльности</v>
          </cell>
        </row>
        <row r="173">
          <cell r="B173">
            <v>38674959</v>
          </cell>
          <cell r="J173" t="str">
            <v>Продажа</v>
          </cell>
          <cell r="K173">
            <v>2640</v>
          </cell>
          <cell r="N173">
            <v>0</v>
          </cell>
        </row>
        <row r="174">
          <cell r="B174">
            <v>23791005</v>
          </cell>
          <cell r="J174" t="str">
            <v>Логистика</v>
          </cell>
          <cell r="K174">
            <v>0</v>
          </cell>
          <cell r="N174">
            <v>64.88</v>
          </cell>
          <cell r="AC174" t="str">
            <v>К клиенту при продаже</v>
          </cell>
        </row>
        <row r="175">
          <cell r="B175">
            <v>23791005</v>
          </cell>
          <cell r="J175" t="str">
            <v>Продажа</v>
          </cell>
          <cell r="K175">
            <v>875</v>
          </cell>
          <cell r="N175">
            <v>0</v>
          </cell>
        </row>
        <row r="176">
          <cell r="B176">
            <v>12190442</v>
          </cell>
          <cell r="J176" t="str">
            <v>Логистика</v>
          </cell>
          <cell r="K176">
            <v>0</v>
          </cell>
          <cell r="N176">
            <v>67.64</v>
          </cell>
          <cell r="AC176" t="str">
            <v>К клиенту при продаже</v>
          </cell>
        </row>
        <row r="177">
          <cell r="B177">
            <v>12190442</v>
          </cell>
          <cell r="J177" t="str">
            <v>Продажа</v>
          </cell>
          <cell r="K177">
            <v>1493</v>
          </cell>
          <cell r="N177">
            <v>0</v>
          </cell>
        </row>
        <row r="178">
          <cell r="B178">
            <v>415525896</v>
          </cell>
          <cell r="J178" t="str">
            <v>Логистика</v>
          </cell>
          <cell r="K178">
            <v>0</v>
          </cell>
          <cell r="N178">
            <v>77.150000000000006</v>
          </cell>
          <cell r="AC178" t="str">
            <v>К клиенту при продаже</v>
          </cell>
        </row>
        <row r="179">
          <cell r="B179">
            <v>415525896</v>
          </cell>
          <cell r="J179" t="str">
            <v>Продажа</v>
          </cell>
          <cell r="K179">
            <v>820</v>
          </cell>
          <cell r="N179">
            <v>0</v>
          </cell>
        </row>
        <row r="180">
          <cell r="B180">
            <v>23791008</v>
          </cell>
          <cell r="J180" t="str">
            <v>Логистика</v>
          </cell>
          <cell r="K180">
            <v>0</v>
          </cell>
          <cell r="N180">
            <v>33.799999999999997</v>
          </cell>
          <cell r="AC180" t="str">
            <v>К клиенту при отмене</v>
          </cell>
        </row>
        <row r="181">
          <cell r="B181">
            <v>23791008</v>
          </cell>
          <cell r="J181" t="str">
            <v>Логистика</v>
          </cell>
          <cell r="K181">
            <v>0</v>
          </cell>
          <cell r="N181">
            <v>26</v>
          </cell>
          <cell r="AC181" t="str">
            <v>От клиента при отмене</v>
          </cell>
        </row>
        <row r="182">
          <cell r="B182">
            <v>416973739</v>
          </cell>
          <cell r="J182" t="str">
            <v>Логистика</v>
          </cell>
          <cell r="K182">
            <v>0</v>
          </cell>
          <cell r="N182">
            <v>64.94</v>
          </cell>
          <cell r="AC182" t="str">
            <v>К клиенту при продаже</v>
          </cell>
        </row>
        <row r="183">
          <cell r="B183">
            <v>416973739</v>
          </cell>
          <cell r="J183" t="str">
            <v>Продажа</v>
          </cell>
          <cell r="K183">
            <v>820</v>
          </cell>
          <cell r="N183">
            <v>0</v>
          </cell>
        </row>
        <row r="184">
          <cell r="B184">
            <v>12190441</v>
          </cell>
          <cell r="J184" t="str">
            <v>Логистика</v>
          </cell>
          <cell r="K184">
            <v>0</v>
          </cell>
          <cell r="N184">
            <v>33.72</v>
          </cell>
          <cell r="AC184" t="str">
            <v>К клиенту при продаже</v>
          </cell>
        </row>
        <row r="185">
          <cell r="B185">
            <v>12190441</v>
          </cell>
          <cell r="J185" t="str">
            <v>Продажа</v>
          </cell>
          <cell r="K185">
            <v>1291.95</v>
          </cell>
          <cell r="N185">
            <v>0</v>
          </cell>
        </row>
        <row r="186">
          <cell r="B186">
            <v>12190430</v>
          </cell>
          <cell r="J186" t="str">
            <v>Логистика</v>
          </cell>
          <cell r="K186">
            <v>0</v>
          </cell>
          <cell r="N186">
            <v>63.94</v>
          </cell>
          <cell r="AC186" t="str">
            <v>К клиенту при продаже</v>
          </cell>
        </row>
        <row r="187">
          <cell r="B187">
            <v>12190430</v>
          </cell>
          <cell r="J187" t="str">
            <v>Продажа</v>
          </cell>
          <cell r="K187">
            <v>1496</v>
          </cell>
          <cell r="N187">
            <v>0</v>
          </cell>
        </row>
        <row r="188">
          <cell r="B188">
            <v>21013821</v>
          </cell>
          <cell r="J188" t="str">
            <v>Логистика</v>
          </cell>
          <cell r="K188">
            <v>0</v>
          </cell>
          <cell r="N188">
            <v>56.18</v>
          </cell>
          <cell r="AC188" t="str">
            <v>К клиенту при продаже</v>
          </cell>
        </row>
        <row r="189">
          <cell r="B189">
            <v>21013821</v>
          </cell>
          <cell r="J189" t="str">
            <v>Продажа</v>
          </cell>
          <cell r="K189">
            <v>1496</v>
          </cell>
          <cell r="N189">
            <v>0</v>
          </cell>
        </row>
        <row r="190">
          <cell r="B190">
            <v>245202461</v>
          </cell>
          <cell r="J190" t="str">
            <v>Логистика</v>
          </cell>
          <cell r="K190">
            <v>0</v>
          </cell>
          <cell r="N190">
            <v>34.86</v>
          </cell>
          <cell r="AC190" t="str">
            <v>К клиенту при продаже</v>
          </cell>
        </row>
        <row r="191">
          <cell r="B191">
            <v>245202461</v>
          </cell>
          <cell r="J191" t="str">
            <v>Продажа</v>
          </cell>
          <cell r="K191">
            <v>644</v>
          </cell>
          <cell r="N191">
            <v>0</v>
          </cell>
        </row>
        <row r="192">
          <cell r="B192">
            <v>21013822</v>
          </cell>
          <cell r="J192" t="str">
            <v>Логистика</v>
          </cell>
          <cell r="K192">
            <v>0</v>
          </cell>
          <cell r="N192">
            <v>54.96</v>
          </cell>
          <cell r="AC192" t="str">
            <v>К клиенту при продаже</v>
          </cell>
        </row>
        <row r="193">
          <cell r="B193">
            <v>21013822</v>
          </cell>
          <cell r="J193" t="str">
            <v>Продажа</v>
          </cell>
          <cell r="K193">
            <v>1305</v>
          </cell>
          <cell r="N193">
            <v>0</v>
          </cell>
        </row>
        <row r="194">
          <cell r="B194">
            <v>245203536</v>
          </cell>
          <cell r="J194" t="str">
            <v>Логистика</v>
          </cell>
          <cell r="K194">
            <v>0</v>
          </cell>
          <cell r="N194">
            <v>58.06</v>
          </cell>
          <cell r="AC194" t="str">
            <v>К клиенту при продаже</v>
          </cell>
        </row>
        <row r="195">
          <cell r="B195">
            <v>245203536</v>
          </cell>
          <cell r="J195" t="str">
            <v>Продажа</v>
          </cell>
          <cell r="K195">
            <v>616</v>
          </cell>
          <cell r="N195">
            <v>0</v>
          </cell>
        </row>
        <row r="196">
          <cell r="B196">
            <v>21013826</v>
          </cell>
          <cell r="J196" t="str">
            <v>Логистика</v>
          </cell>
          <cell r="K196">
            <v>0</v>
          </cell>
          <cell r="N196">
            <v>31.33</v>
          </cell>
          <cell r="AC196" t="str">
            <v>К клиенту при продаже</v>
          </cell>
        </row>
        <row r="197">
          <cell r="B197">
            <v>21013826</v>
          </cell>
          <cell r="J197" t="str">
            <v>Продажа</v>
          </cell>
          <cell r="K197">
            <v>1320</v>
          </cell>
          <cell r="N197">
            <v>0</v>
          </cell>
        </row>
        <row r="198">
          <cell r="B198">
            <v>12190429</v>
          </cell>
          <cell r="J198" t="str">
            <v>Логистика</v>
          </cell>
          <cell r="K198">
            <v>0</v>
          </cell>
          <cell r="N198">
            <v>34.94</v>
          </cell>
          <cell r="AC198" t="str">
            <v>К клиенту при продаже</v>
          </cell>
        </row>
        <row r="199">
          <cell r="B199">
            <v>12190429</v>
          </cell>
          <cell r="J199" t="str">
            <v>Продажа</v>
          </cell>
          <cell r="K199">
            <v>1496</v>
          </cell>
          <cell r="N199">
            <v>0</v>
          </cell>
        </row>
        <row r="200">
          <cell r="B200">
            <v>12190430</v>
          </cell>
          <cell r="J200" t="str">
            <v>Логистика</v>
          </cell>
          <cell r="K200">
            <v>0</v>
          </cell>
          <cell r="N200">
            <v>63.94</v>
          </cell>
          <cell r="AC200" t="str">
            <v>К клиенту при продаже</v>
          </cell>
        </row>
        <row r="201">
          <cell r="B201">
            <v>12190430</v>
          </cell>
          <cell r="J201" t="str">
            <v>Продажа</v>
          </cell>
          <cell r="K201">
            <v>1496</v>
          </cell>
          <cell r="N201">
            <v>0</v>
          </cell>
        </row>
        <row r="202">
          <cell r="B202">
            <v>101238524</v>
          </cell>
          <cell r="J202" t="str">
            <v>Логистика</v>
          </cell>
          <cell r="K202">
            <v>0</v>
          </cell>
          <cell r="N202">
            <v>31.28</v>
          </cell>
          <cell r="AC202" t="str">
            <v>К клиенту при продаже</v>
          </cell>
        </row>
        <row r="203">
          <cell r="B203">
            <v>101238524</v>
          </cell>
          <cell r="J203" t="str">
            <v>Продажа</v>
          </cell>
          <cell r="K203">
            <v>844</v>
          </cell>
          <cell r="N203">
            <v>0</v>
          </cell>
        </row>
        <row r="204">
          <cell r="B204">
            <v>12190441</v>
          </cell>
          <cell r="J204" t="str">
            <v>Логистика</v>
          </cell>
          <cell r="K204">
            <v>0</v>
          </cell>
          <cell r="N204">
            <v>64.13</v>
          </cell>
          <cell r="AC204" t="str">
            <v>К клиенту при продаже</v>
          </cell>
        </row>
        <row r="205">
          <cell r="B205">
            <v>12190441</v>
          </cell>
          <cell r="J205" t="str">
            <v>Продажа</v>
          </cell>
          <cell r="K205">
            <v>1305</v>
          </cell>
          <cell r="N205">
            <v>0</v>
          </cell>
        </row>
        <row r="206">
          <cell r="B206">
            <v>415498429</v>
          </cell>
          <cell r="J206" t="str">
            <v>Логистика</v>
          </cell>
          <cell r="K206">
            <v>0</v>
          </cell>
          <cell r="N206">
            <v>108.46</v>
          </cell>
          <cell r="AC206" t="str">
            <v>К клиенту при продаже</v>
          </cell>
        </row>
        <row r="207">
          <cell r="B207">
            <v>415498429</v>
          </cell>
          <cell r="J207" t="str">
            <v>Сумма удержанная за начисленные баллы программы лояльности</v>
          </cell>
          <cell r="K207">
            <v>0</v>
          </cell>
          <cell r="N207">
            <v>0</v>
          </cell>
          <cell r="AC207" t="str">
            <v>Сумма удержанная за начисленные баллы программы лояльности</v>
          </cell>
        </row>
        <row r="208">
          <cell r="B208">
            <v>415498429</v>
          </cell>
          <cell r="J208" t="str">
            <v>Стоимость участия в программе лояльности</v>
          </cell>
          <cell r="K208">
            <v>0</v>
          </cell>
          <cell r="N208">
            <v>0</v>
          </cell>
          <cell r="AC208" t="str">
            <v>Стоимость участия в программе лояльности</v>
          </cell>
        </row>
        <row r="209">
          <cell r="B209">
            <v>415498429</v>
          </cell>
          <cell r="J209" t="str">
            <v>Продажа</v>
          </cell>
          <cell r="K209">
            <v>820</v>
          </cell>
          <cell r="N209">
            <v>0</v>
          </cell>
        </row>
        <row r="210">
          <cell r="B210">
            <v>23791012</v>
          </cell>
          <cell r="J210" t="str">
            <v>Логистика</v>
          </cell>
          <cell r="K210">
            <v>0</v>
          </cell>
          <cell r="N210">
            <v>99.78</v>
          </cell>
          <cell r="AC210" t="str">
            <v>К клиенту при продаже</v>
          </cell>
        </row>
        <row r="211">
          <cell r="B211">
            <v>23791012</v>
          </cell>
          <cell r="J211" t="str">
            <v>Продажа</v>
          </cell>
          <cell r="K211">
            <v>850</v>
          </cell>
          <cell r="N211">
            <v>0</v>
          </cell>
        </row>
        <row r="212">
          <cell r="B212">
            <v>23791012</v>
          </cell>
          <cell r="J212" t="str">
            <v>Логистика</v>
          </cell>
          <cell r="K212">
            <v>0</v>
          </cell>
          <cell r="N212">
            <v>99.7</v>
          </cell>
          <cell r="AC212" t="str">
            <v>К клиенту при отмене</v>
          </cell>
        </row>
        <row r="213">
          <cell r="B213">
            <v>23791012</v>
          </cell>
          <cell r="J213" t="str">
            <v>Логистика</v>
          </cell>
          <cell r="K213">
            <v>0</v>
          </cell>
          <cell r="N213">
            <v>49.85</v>
          </cell>
          <cell r="AC213" t="str">
            <v>От клиента при отмене</v>
          </cell>
        </row>
        <row r="214">
          <cell r="B214">
            <v>245203536</v>
          </cell>
          <cell r="J214" t="str">
            <v>Логистика</v>
          </cell>
          <cell r="K214">
            <v>0</v>
          </cell>
          <cell r="N214">
            <v>40.659999999999997</v>
          </cell>
          <cell r="AC214" t="str">
            <v>К клиенту при продаже</v>
          </cell>
        </row>
        <row r="215">
          <cell r="B215">
            <v>245203536</v>
          </cell>
          <cell r="J215" t="str">
            <v>Продажа</v>
          </cell>
          <cell r="K215">
            <v>621</v>
          </cell>
          <cell r="N215">
            <v>0</v>
          </cell>
        </row>
        <row r="216">
          <cell r="B216">
            <v>23791012</v>
          </cell>
          <cell r="J216" t="str">
            <v>Логистика</v>
          </cell>
          <cell r="K216">
            <v>0</v>
          </cell>
          <cell r="N216">
            <v>112.24</v>
          </cell>
          <cell r="AC216" t="str">
            <v>К клиенту при продаже</v>
          </cell>
        </row>
        <row r="217">
          <cell r="B217">
            <v>23791012</v>
          </cell>
          <cell r="J217" t="str">
            <v>Продажа</v>
          </cell>
          <cell r="K217">
            <v>875</v>
          </cell>
          <cell r="N217">
            <v>0</v>
          </cell>
        </row>
        <row r="218">
          <cell r="B218">
            <v>466504507</v>
          </cell>
          <cell r="J218" t="str">
            <v>Логистика</v>
          </cell>
          <cell r="K218">
            <v>0</v>
          </cell>
          <cell r="N218">
            <v>65.31</v>
          </cell>
          <cell r="AC218" t="str">
            <v>К клиенту при продаже</v>
          </cell>
        </row>
        <row r="219">
          <cell r="B219">
            <v>466504507</v>
          </cell>
          <cell r="J219" t="str">
            <v>Продажа</v>
          </cell>
          <cell r="K219">
            <v>621</v>
          </cell>
          <cell r="N219">
            <v>0</v>
          </cell>
        </row>
        <row r="220">
          <cell r="B220">
            <v>466545270</v>
          </cell>
          <cell r="J220" t="str">
            <v>Логистика</v>
          </cell>
          <cell r="K220">
            <v>0</v>
          </cell>
          <cell r="N220">
            <v>65.31</v>
          </cell>
          <cell r="AC220" t="str">
            <v>К клиенту при продаже</v>
          </cell>
        </row>
        <row r="221">
          <cell r="B221">
            <v>466545270</v>
          </cell>
          <cell r="J221" t="str">
            <v>Продажа</v>
          </cell>
          <cell r="K221">
            <v>644</v>
          </cell>
          <cell r="N221">
            <v>0</v>
          </cell>
        </row>
        <row r="222">
          <cell r="B222">
            <v>12190436</v>
          </cell>
          <cell r="J222" t="str">
            <v>Логистика</v>
          </cell>
          <cell r="K222">
            <v>0</v>
          </cell>
          <cell r="N222">
            <v>31.33</v>
          </cell>
          <cell r="AC222" t="str">
            <v>К клиенту при продаже</v>
          </cell>
        </row>
        <row r="223">
          <cell r="B223">
            <v>12190436</v>
          </cell>
          <cell r="J223" t="str">
            <v>Продажа</v>
          </cell>
          <cell r="K223">
            <v>1320</v>
          </cell>
          <cell r="N223">
            <v>0</v>
          </cell>
        </row>
        <row r="224">
          <cell r="B224">
            <v>12190441</v>
          </cell>
          <cell r="J224" t="str">
            <v>Логистика</v>
          </cell>
          <cell r="K224">
            <v>0</v>
          </cell>
          <cell r="N224">
            <v>44.93</v>
          </cell>
          <cell r="AC224" t="str">
            <v>К клиенту при продаже</v>
          </cell>
        </row>
        <row r="225">
          <cell r="B225">
            <v>12190441</v>
          </cell>
          <cell r="J225" t="str">
            <v>Продажа</v>
          </cell>
          <cell r="K225">
            <v>1305</v>
          </cell>
          <cell r="N225">
            <v>0</v>
          </cell>
        </row>
        <row r="226">
          <cell r="B226">
            <v>12190441</v>
          </cell>
          <cell r="J226" t="str">
            <v>Логистика</v>
          </cell>
          <cell r="K226">
            <v>0</v>
          </cell>
          <cell r="N226">
            <v>70.53</v>
          </cell>
          <cell r="AC226" t="str">
            <v>К клиенту при продаже</v>
          </cell>
        </row>
        <row r="227">
          <cell r="B227">
            <v>12190441</v>
          </cell>
          <cell r="J227" t="str">
            <v>Продажа</v>
          </cell>
          <cell r="K227">
            <v>1305</v>
          </cell>
          <cell r="N227">
            <v>0</v>
          </cell>
        </row>
        <row r="228">
          <cell r="B228">
            <v>415555134</v>
          </cell>
          <cell r="J228" t="str">
            <v>Логистика</v>
          </cell>
          <cell r="K228">
            <v>0</v>
          </cell>
          <cell r="N228">
            <v>57.88</v>
          </cell>
          <cell r="AC228" t="str">
            <v>К клиенту при продаже</v>
          </cell>
        </row>
        <row r="229">
          <cell r="B229">
            <v>415555134</v>
          </cell>
          <cell r="J229" t="str">
            <v>Сумма удержанная за начисленные баллы программы лояльности</v>
          </cell>
          <cell r="K229">
            <v>0</v>
          </cell>
          <cell r="N229">
            <v>0</v>
          </cell>
          <cell r="AC229" t="str">
            <v>Сумма удержанная за начисленные баллы программы лояльности</v>
          </cell>
        </row>
        <row r="230">
          <cell r="B230">
            <v>415555134</v>
          </cell>
          <cell r="J230" t="str">
            <v>Стоимость участия в программе лояльности</v>
          </cell>
          <cell r="K230">
            <v>0</v>
          </cell>
          <cell r="N230">
            <v>0</v>
          </cell>
          <cell r="AC230" t="str">
            <v>Стоимость участия в программе лояльности</v>
          </cell>
        </row>
        <row r="231">
          <cell r="B231">
            <v>415555134</v>
          </cell>
          <cell r="J231" t="str">
            <v>Продажа</v>
          </cell>
          <cell r="K231">
            <v>820</v>
          </cell>
          <cell r="N231">
            <v>0</v>
          </cell>
        </row>
        <row r="232">
          <cell r="B232">
            <v>21013820</v>
          </cell>
          <cell r="J232" t="str">
            <v>Логистика</v>
          </cell>
          <cell r="K232">
            <v>0</v>
          </cell>
          <cell r="N232">
            <v>34.94</v>
          </cell>
          <cell r="AC232" t="str">
            <v>К клиенту при продаже</v>
          </cell>
        </row>
        <row r="233">
          <cell r="B233">
            <v>21013820</v>
          </cell>
          <cell r="J233" t="str">
            <v>Компенсация скидки по программе лояльности</v>
          </cell>
          <cell r="K233">
            <v>0</v>
          </cell>
          <cell r="N233">
            <v>0</v>
          </cell>
          <cell r="AC233" t="str">
            <v>Компенсация скидки по программе лояльности</v>
          </cell>
        </row>
        <row r="234">
          <cell r="B234">
            <v>21013820</v>
          </cell>
          <cell r="J234" t="str">
            <v>Продажа</v>
          </cell>
          <cell r="K234">
            <v>1486</v>
          </cell>
          <cell r="N234">
            <v>0</v>
          </cell>
        </row>
        <row r="235">
          <cell r="B235">
            <v>415453606</v>
          </cell>
          <cell r="J235" t="str">
            <v>Логистика</v>
          </cell>
          <cell r="K235">
            <v>0</v>
          </cell>
          <cell r="N235">
            <v>72.33</v>
          </cell>
          <cell r="AC235" t="str">
            <v>К клиенту при продаже</v>
          </cell>
        </row>
        <row r="236">
          <cell r="B236">
            <v>415453606</v>
          </cell>
          <cell r="J236" t="str">
            <v>Сумма удержанная за начисленные баллы программы лояльности</v>
          </cell>
          <cell r="K236">
            <v>0</v>
          </cell>
          <cell r="N236">
            <v>0</v>
          </cell>
          <cell r="AC236" t="str">
            <v>Сумма удержанная за начисленные баллы программы лояльности</v>
          </cell>
        </row>
        <row r="237">
          <cell r="B237">
            <v>415453606</v>
          </cell>
          <cell r="J237" t="str">
            <v>Стоимость участия в программе лояльности</v>
          </cell>
          <cell r="K237">
            <v>0</v>
          </cell>
          <cell r="N237">
            <v>0</v>
          </cell>
          <cell r="AC237" t="str">
            <v>Стоимость участия в программе лояльности</v>
          </cell>
        </row>
        <row r="238">
          <cell r="B238">
            <v>415453606</v>
          </cell>
          <cell r="J238" t="str">
            <v>Продажа</v>
          </cell>
          <cell r="K238">
            <v>820</v>
          </cell>
          <cell r="N238">
            <v>0</v>
          </cell>
        </row>
        <row r="239">
          <cell r="B239">
            <v>21013821</v>
          </cell>
          <cell r="J239" t="str">
            <v>Логистика</v>
          </cell>
          <cell r="K239">
            <v>0</v>
          </cell>
          <cell r="N239">
            <v>93.4</v>
          </cell>
          <cell r="AC239" t="str">
            <v>К клиенту при отмене</v>
          </cell>
        </row>
        <row r="240">
          <cell r="B240">
            <v>21013821</v>
          </cell>
          <cell r="J240" t="str">
            <v>Логистика</v>
          </cell>
          <cell r="K240">
            <v>0</v>
          </cell>
          <cell r="N240">
            <v>46.7</v>
          </cell>
          <cell r="AC240" t="str">
            <v>От клиента при отмене</v>
          </cell>
        </row>
        <row r="241">
          <cell r="B241">
            <v>12190441</v>
          </cell>
          <cell r="J241" t="str">
            <v>Логистика</v>
          </cell>
          <cell r="K241">
            <v>0</v>
          </cell>
          <cell r="N241">
            <v>41.73</v>
          </cell>
          <cell r="AC241" t="str">
            <v>К клиенту при продаже</v>
          </cell>
        </row>
        <row r="242">
          <cell r="B242">
            <v>12190441</v>
          </cell>
          <cell r="J242" t="str">
            <v>Продажа</v>
          </cell>
          <cell r="K242">
            <v>1349</v>
          </cell>
          <cell r="N242">
            <v>0</v>
          </cell>
        </row>
        <row r="243">
          <cell r="B243">
            <v>12190441</v>
          </cell>
          <cell r="J243" t="str">
            <v>Логистика</v>
          </cell>
          <cell r="K243">
            <v>0</v>
          </cell>
          <cell r="N243">
            <v>35.33</v>
          </cell>
          <cell r="AC243" t="str">
            <v>К клиенту при продаже</v>
          </cell>
        </row>
        <row r="244">
          <cell r="B244">
            <v>12190441</v>
          </cell>
          <cell r="J244" t="str">
            <v>Продажа</v>
          </cell>
          <cell r="K244">
            <v>1305</v>
          </cell>
          <cell r="N244">
            <v>0</v>
          </cell>
        </row>
        <row r="245">
          <cell r="B245">
            <v>23791014</v>
          </cell>
          <cell r="J245" t="str">
            <v>Логистика</v>
          </cell>
          <cell r="K245">
            <v>0</v>
          </cell>
          <cell r="N245">
            <v>41.7</v>
          </cell>
          <cell r="AC245" t="str">
            <v>К клиенту при продаже</v>
          </cell>
        </row>
        <row r="246">
          <cell r="B246">
            <v>23791014</v>
          </cell>
          <cell r="J246" t="str">
            <v>Продажа</v>
          </cell>
          <cell r="K246">
            <v>1075</v>
          </cell>
          <cell r="N246">
            <v>0</v>
          </cell>
        </row>
        <row r="247">
          <cell r="B247">
            <v>12190430</v>
          </cell>
          <cell r="J247" t="str">
            <v>Логистика</v>
          </cell>
          <cell r="K247">
            <v>0</v>
          </cell>
          <cell r="N247">
            <v>37.840000000000003</v>
          </cell>
          <cell r="AC247" t="str">
            <v>К клиенту при продаже</v>
          </cell>
        </row>
        <row r="248">
          <cell r="B248">
            <v>12190430</v>
          </cell>
          <cell r="J248" t="str">
            <v>Продажа</v>
          </cell>
          <cell r="K248">
            <v>1481.04</v>
          </cell>
          <cell r="N248">
            <v>0</v>
          </cell>
        </row>
        <row r="249">
          <cell r="B249">
            <v>23791011</v>
          </cell>
          <cell r="J249" t="str">
            <v>Логистика</v>
          </cell>
          <cell r="K249">
            <v>0</v>
          </cell>
          <cell r="N249">
            <v>69.89</v>
          </cell>
          <cell r="AC249" t="str">
            <v>К клиенту при продаже</v>
          </cell>
        </row>
        <row r="250">
          <cell r="B250">
            <v>23791011</v>
          </cell>
          <cell r="J250" t="str">
            <v>Продажа</v>
          </cell>
          <cell r="K250">
            <v>1075</v>
          </cell>
          <cell r="N250">
            <v>0</v>
          </cell>
        </row>
        <row r="251">
          <cell r="B251">
            <v>12190436</v>
          </cell>
          <cell r="J251" t="str">
            <v>Логистика</v>
          </cell>
          <cell r="K251">
            <v>0</v>
          </cell>
          <cell r="N251">
            <v>41.73</v>
          </cell>
          <cell r="AC251" t="str">
            <v>К клиенту при продаже</v>
          </cell>
        </row>
        <row r="252">
          <cell r="B252">
            <v>12190436</v>
          </cell>
          <cell r="J252" t="str">
            <v>Продажа</v>
          </cell>
          <cell r="K252">
            <v>1306.8</v>
          </cell>
          <cell r="N252">
            <v>0</v>
          </cell>
        </row>
        <row r="253">
          <cell r="B253">
            <v>23791015</v>
          </cell>
          <cell r="J253" t="str">
            <v>Логистика</v>
          </cell>
          <cell r="K253">
            <v>0</v>
          </cell>
          <cell r="N253">
            <v>36.49</v>
          </cell>
          <cell r="AC253" t="str">
            <v>К клиенту при продаже</v>
          </cell>
        </row>
        <row r="254">
          <cell r="B254">
            <v>23791015</v>
          </cell>
          <cell r="J254" t="str">
            <v>Продажа</v>
          </cell>
          <cell r="K254">
            <v>925</v>
          </cell>
          <cell r="N254">
            <v>0</v>
          </cell>
        </row>
        <row r="255">
          <cell r="B255">
            <v>23791008</v>
          </cell>
          <cell r="J255" t="str">
            <v>Логистика</v>
          </cell>
          <cell r="K255">
            <v>0</v>
          </cell>
          <cell r="N255">
            <v>22.19</v>
          </cell>
          <cell r="AC255" t="str">
            <v>К клиенту при продаже</v>
          </cell>
        </row>
        <row r="256">
          <cell r="B256">
            <v>23791008</v>
          </cell>
          <cell r="J256" t="str">
            <v>Продажа</v>
          </cell>
          <cell r="K256">
            <v>918</v>
          </cell>
          <cell r="N256">
            <v>0</v>
          </cell>
        </row>
        <row r="257">
          <cell r="B257">
            <v>12190434</v>
          </cell>
          <cell r="J257" t="str">
            <v>Логистика</v>
          </cell>
          <cell r="K257">
            <v>0</v>
          </cell>
          <cell r="N257">
            <v>38.53</v>
          </cell>
          <cell r="AC257" t="str">
            <v>К клиенту при продаже</v>
          </cell>
        </row>
        <row r="258">
          <cell r="B258">
            <v>12190434</v>
          </cell>
          <cell r="J258" t="str">
            <v>Продажа</v>
          </cell>
          <cell r="K258">
            <v>1305</v>
          </cell>
          <cell r="N258">
            <v>0</v>
          </cell>
        </row>
        <row r="259">
          <cell r="B259">
            <v>23791012</v>
          </cell>
          <cell r="J259" t="str">
            <v>Логистика</v>
          </cell>
          <cell r="K259">
            <v>0</v>
          </cell>
          <cell r="N259">
            <v>69.87</v>
          </cell>
          <cell r="AC259" t="str">
            <v>К клиенту при продаже</v>
          </cell>
        </row>
        <row r="260">
          <cell r="B260">
            <v>23791012</v>
          </cell>
          <cell r="J260" t="str">
            <v>Продажа</v>
          </cell>
          <cell r="K260">
            <v>850</v>
          </cell>
          <cell r="N260">
            <v>0</v>
          </cell>
        </row>
        <row r="261">
          <cell r="B261">
            <v>23791005</v>
          </cell>
          <cell r="J261" t="str">
            <v>Логистика</v>
          </cell>
          <cell r="K261">
            <v>0</v>
          </cell>
          <cell r="N261">
            <v>64.88</v>
          </cell>
          <cell r="AC261" t="str">
            <v>К клиенту при продаже</v>
          </cell>
        </row>
        <row r="262">
          <cell r="B262">
            <v>23791005</v>
          </cell>
          <cell r="J262" t="str">
            <v>Продажа</v>
          </cell>
          <cell r="K262">
            <v>875</v>
          </cell>
          <cell r="N262">
            <v>0</v>
          </cell>
        </row>
        <row r="263">
          <cell r="B263">
            <v>21013823</v>
          </cell>
          <cell r="J263" t="str">
            <v>Логистика</v>
          </cell>
          <cell r="K263">
            <v>0</v>
          </cell>
          <cell r="N263">
            <v>44.92</v>
          </cell>
          <cell r="AC263" t="str">
            <v>К клиенту при продаже</v>
          </cell>
        </row>
        <row r="264">
          <cell r="B264">
            <v>21013823</v>
          </cell>
          <cell r="J264" t="str">
            <v>Продажа</v>
          </cell>
          <cell r="K264">
            <v>1291</v>
          </cell>
          <cell r="N264">
            <v>0</v>
          </cell>
        </row>
        <row r="265">
          <cell r="B265">
            <v>12190436</v>
          </cell>
          <cell r="J265" t="str">
            <v>Логистика</v>
          </cell>
          <cell r="K265">
            <v>0</v>
          </cell>
          <cell r="N265">
            <v>26.13</v>
          </cell>
          <cell r="AC265" t="str">
            <v>К клиенту при продаже</v>
          </cell>
        </row>
        <row r="266">
          <cell r="B266">
            <v>12190436</v>
          </cell>
          <cell r="J266" t="str">
            <v>Продажа</v>
          </cell>
          <cell r="K266">
            <v>1320</v>
          </cell>
          <cell r="N266">
            <v>0</v>
          </cell>
        </row>
        <row r="267">
          <cell r="B267">
            <v>12190440</v>
          </cell>
          <cell r="J267" t="str">
            <v>Логистика</v>
          </cell>
          <cell r="K267">
            <v>0</v>
          </cell>
          <cell r="N267">
            <v>32.04</v>
          </cell>
          <cell r="AC267" t="str">
            <v>К клиенту при продаже</v>
          </cell>
        </row>
        <row r="268">
          <cell r="B268">
            <v>12190440</v>
          </cell>
          <cell r="J268" t="str">
            <v>Продажа</v>
          </cell>
          <cell r="K268">
            <v>1493</v>
          </cell>
          <cell r="N268">
            <v>0</v>
          </cell>
        </row>
        <row r="269">
          <cell r="B269">
            <v>12190441</v>
          </cell>
          <cell r="J269" t="str">
            <v>Логистика</v>
          </cell>
          <cell r="K269">
            <v>0</v>
          </cell>
          <cell r="N269">
            <v>70.53</v>
          </cell>
          <cell r="AC269" t="str">
            <v>К клиенту при продаже</v>
          </cell>
        </row>
        <row r="270">
          <cell r="B270">
            <v>12190441</v>
          </cell>
          <cell r="J270" t="str">
            <v>Продажа</v>
          </cell>
          <cell r="K270">
            <v>1305</v>
          </cell>
          <cell r="N270">
            <v>0</v>
          </cell>
        </row>
        <row r="271">
          <cell r="B271">
            <v>23791008</v>
          </cell>
          <cell r="J271" t="str">
            <v>Логистика</v>
          </cell>
          <cell r="K271">
            <v>0</v>
          </cell>
          <cell r="N271">
            <v>52</v>
          </cell>
          <cell r="AC271" t="str">
            <v>К клиенту при продаже</v>
          </cell>
        </row>
        <row r="272">
          <cell r="B272">
            <v>23791008</v>
          </cell>
          <cell r="J272" t="str">
            <v>Продажа</v>
          </cell>
          <cell r="K272">
            <v>950</v>
          </cell>
          <cell r="N272">
            <v>0</v>
          </cell>
        </row>
        <row r="273">
          <cell r="B273">
            <v>12190439</v>
          </cell>
          <cell r="J273" t="str">
            <v>Логистика</v>
          </cell>
          <cell r="K273">
            <v>0</v>
          </cell>
          <cell r="N273">
            <v>72.12</v>
          </cell>
          <cell r="AC273" t="str">
            <v>К клиенту при продаже</v>
          </cell>
        </row>
        <row r="274">
          <cell r="B274">
            <v>12190439</v>
          </cell>
          <cell r="J274" t="str">
            <v>Продажа</v>
          </cell>
          <cell r="K274">
            <v>1296</v>
          </cell>
          <cell r="N274">
            <v>0</v>
          </cell>
        </row>
        <row r="275">
          <cell r="B275">
            <v>21013826</v>
          </cell>
          <cell r="J275" t="str">
            <v>Логистика</v>
          </cell>
          <cell r="K275">
            <v>0</v>
          </cell>
          <cell r="N275">
            <v>28.73</v>
          </cell>
          <cell r="AC275" t="str">
            <v>К клиенту при продаже</v>
          </cell>
        </row>
        <row r="276">
          <cell r="B276">
            <v>21013826</v>
          </cell>
          <cell r="J276" t="str">
            <v>Продажа</v>
          </cell>
          <cell r="K276">
            <v>1320</v>
          </cell>
          <cell r="N276">
            <v>0</v>
          </cell>
        </row>
        <row r="277">
          <cell r="B277">
            <v>577225812</v>
          </cell>
          <cell r="J277" t="str">
            <v>Логистика</v>
          </cell>
          <cell r="K277">
            <v>0</v>
          </cell>
          <cell r="N277">
            <v>58.56</v>
          </cell>
          <cell r="AC277" t="str">
            <v>К клиенту при продаже</v>
          </cell>
        </row>
        <row r="278">
          <cell r="B278">
            <v>577225812</v>
          </cell>
          <cell r="J278" t="str">
            <v>Продажа</v>
          </cell>
          <cell r="K278">
            <v>621</v>
          </cell>
          <cell r="N278">
            <v>0</v>
          </cell>
        </row>
        <row r="279">
          <cell r="B279">
            <v>577260169</v>
          </cell>
          <cell r="J279" t="str">
            <v>Логистика</v>
          </cell>
          <cell r="K279">
            <v>0</v>
          </cell>
          <cell r="N279">
            <v>58.56</v>
          </cell>
          <cell r="AC279" t="str">
            <v>К клиенту при продаже</v>
          </cell>
        </row>
        <row r="280">
          <cell r="B280">
            <v>577260169</v>
          </cell>
          <cell r="J280" t="str">
            <v>Продажа</v>
          </cell>
          <cell r="K280">
            <v>621</v>
          </cell>
          <cell r="N280">
            <v>0</v>
          </cell>
        </row>
        <row r="281">
          <cell r="B281">
            <v>21013819</v>
          </cell>
          <cell r="J281" t="str">
            <v>Логистика</v>
          </cell>
          <cell r="K281">
            <v>0</v>
          </cell>
          <cell r="N281">
            <v>32.04</v>
          </cell>
          <cell r="AC281" t="str">
            <v>К клиенту при продаже</v>
          </cell>
        </row>
        <row r="282">
          <cell r="B282">
            <v>21013819</v>
          </cell>
          <cell r="J282" t="str">
            <v>Продажа</v>
          </cell>
          <cell r="K282">
            <v>1452</v>
          </cell>
          <cell r="N282">
            <v>0</v>
          </cell>
        </row>
        <row r="283">
          <cell r="B283">
            <v>466545270</v>
          </cell>
          <cell r="J283" t="str">
            <v>Логистика</v>
          </cell>
          <cell r="K283">
            <v>0</v>
          </cell>
          <cell r="N283">
            <v>43.56</v>
          </cell>
          <cell r="AC283" t="str">
            <v>К клиенту при продаже</v>
          </cell>
        </row>
        <row r="284">
          <cell r="B284">
            <v>466545270</v>
          </cell>
          <cell r="J284" t="str">
            <v>Продажа</v>
          </cell>
          <cell r="K284">
            <v>644</v>
          </cell>
          <cell r="N284">
            <v>0</v>
          </cell>
        </row>
        <row r="285">
          <cell r="B285">
            <v>12190436</v>
          </cell>
          <cell r="J285" t="str">
            <v>Логистика</v>
          </cell>
          <cell r="K285">
            <v>0</v>
          </cell>
          <cell r="N285">
            <v>31.33</v>
          </cell>
          <cell r="AC285" t="str">
            <v>К клиенту при продаже</v>
          </cell>
        </row>
        <row r="286">
          <cell r="B286">
            <v>12190436</v>
          </cell>
          <cell r="J286" t="str">
            <v>Продажа</v>
          </cell>
          <cell r="K286">
            <v>1320</v>
          </cell>
          <cell r="N286">
            <v>0</v>
          </cell>
        </row>
        <row r="287">
          <cell r="B287">
            <v>577225812</v>
          </cell>
          <cell r="J287" t="str">
            <v>Логистика</v>
          </cell>
          <cell r="K287">
            <v>0</v>
          </cell>
          <cell r="N287">
            <v>41.6</v>
          </cell>
          <cell r="AC287" t="str">
            <v>К клиенту при отмене</v>
          </cell>
        </row>
        <row r="288">
          <cell r="B288">
            <v>577225812</v>
          </cell>
          <cell r="J288" t="str">
            <v>Логистика</v>
          </cell>
          <cell r="K288">
            <v>0</v>
          </cell>
          <cell r="N288">
            <v>26</v>
          </cell>
          <cell r="AC288" t="str">
            <v>От клиента при отмене</v>
          </cell>
        </row>
        <row r="289">
          <cell r="B289">
            <v>466545270</v>
          </cell>
          <cell r="J289" t="str">
            <v>Логистика</v>
          </cell>
          <cell r="K289">
            <v>0</v>
          </cell>
          <cell r="N289">
            <v>43.5</v>
          </cell>
          <cell r="AC289" t="str">
            <v>К клиенту при отмене</v>
          </cell>
        </row>
        <row r="290">
          <cell r="B290">
            <v>466545270</v>
          </cell>
          <cell r="J290" t="str">
            <v>Логистика</v>
          </cell>
          <cell r="K290">
            <v>0</v>
          </cell>
          <cell r="N290">
            <v>29</v>
          </cell>
          <cell r="AC290" t="str">
            <v>От клиента при отмене</v>
          </cell>
        </row>
        <row r="291">
          <cell r="B291">
            <v>23791016</v>
          </cell>
          <cell r="J291" t="str">
            <v>Логистика</v>
          </cell>
          <cell r="K291">
            <v>0</v>
          </cell>
          <cell r="N291">
            <v>104.76</v>
          </cell>
          <cell r="AC291" t="str">
            <v>К клиенту при продаже</v>
          </cell>
        </row>
        <row r="292">
          <cell r="B292">
            <v>23791016</v>
          </cell>
          <cell r="J292" t="str">
            <v>Продажа</v>
          </cell>
          <cell r="K292">
            <v>875</v>
          </cell>
          <cell r="N292">
            <v>0</v>
          </cell>
        </row>
        <row r="293">
          <cell r="B293">
            <v>543804384</v>
          </cell>
          <cell r="J293" t="str">
            <v>Логистика</v>
          </cell>
          <cell r="K293">
            <v>0</v>
          </cell>
          <cell r="N293">
            <v>70.680000000000007</v>
          </cell>
          <cell r="AC293" t="str">
            <v>К клиенту при отмене</v>
          </cell>
        </row>
        <row r="294">
          <cell r="B294">
            <v>543804384</v>
          </cell>
          <cell r="J294" t="str">
            <v>Логистика</v>
          </cell>
          <cell r="K294">
            <v>0</v>
          </cell>
          <cell r="N294">
            <v>47.12</v>
          </cell>
          <cell r="AC294" t="str">
            <v>От клиента при отмене</v>
          </cell>
        </row>
        <row r="295">
          <cell r="B295">
            <v>23791015</v>
          </cell>
          <cell r="J295" t="str">
            <v>Логистика</v>
          </cell>
          <cell r="K295">
            <v>0</v>
          </cell>
          <cell r="N295">
            <v>22.19</v>
          </cell>
          <cell r="AC295" t="str">
            <v>К клиенту при продаже</v>
          </cell>
        </row>
        <row r="296">
          <cell r="B296">
            <v>23791015</v>
          </cell>
          <cell r="J296" t="str">
            <v>Продажа</v>
          </cell>
          <cell r="K296">
            <v>925</v>
          </cell>
          <cell r="N296">
            <v>0</v>
          </cell>
        </row>
        <row r="297">
          <cell r="B297">
            <v>21013817</v>
          </cell>
          <cell r="J297" t="str">
            <v>Логистика</v>
          </cell>
          <cell r="K297">
            <v>0</v>
          </cell>
          <cell r="N297">
            <v>56.18</v>
          </cell>
          <cell r="AC297" t="str">
            <v>К клиенту при продаже</v>
          </cell>
        </row>
        <row r="298">
          <cell r="B298">
            <v>21013817</v>
          </cell>
          <cell r="J298" t="str">
            <v>Продажа</v>
          </cell>
          <cell r="K298">
            <v>1496</v>
          </cell>
          <cell r="N298">
            <v>0</v>
          </cell>
        </row>
        <row r="299">
          <cell r="B299">
            <v>245202461</v>
          </cell>
          <cell r="J299" t="str">
            <v>Логистика</v>
          </cell>
          <cell r="K299">
            <v>0</v>
          </cell>
          <cell r="N299">
            <v>34.86</v>
          </cell>
          <cell r="AC299" t="str">
            <v>К клиенту при продаже</v>
          </cell>
        </row>
        <row r="300">
          <cell r="B300">
            <v>245202461</v>
          </cell>
          <cell r="J300" t="str">
            <v>Продажа</v>
          </cell>
          <cell r="K300">
            <v>644</v>
          </cell>
          <cell r="N300">
            <v>0</v>
          </cell>
        </row>
        <row r="301">
          <cell r="B301">
            <v>12190441</v>
          </cell>
          <cell r="J301" t="str">
            <v>Логистика</v>
          </cell>
          <cell r="K301">
            <v>0</v>
          </cell>
          <cell r="N301">
            <v>38.53</v>
          </cell>
          <cell r="AC301" t="str">
            <v>К клиенту при продаже</v>
          </cell>
        </row>
        <row r="302">
          <cell r="B302">
            <v>12190441</v>
          </cell>
          <cell r="J302" t="str">
            <v>Продажа</v>
          </cell>
          <cell r="K302">
            <v>1305</v>
          </cell>
          <cell r="N302">
            <v>0</v>
          </cell>
        </row>
        <row r="303">
          <cell r="B303">
            <v>12190436</v>
          </cell>
          <cell r="J303" t="str">
            <v>Логистика</v>
          </cell>
          <cell r="K303">
            <v>0</v>
          </cell>
          <cell r="N303">
            <v>54.6</v>
          </cell>
          <cell r="AC303" t="str">
            <v>К клиенту при отмене</v>
          </cell>
        </row>
        <row r="304">
          <cell r="B304">
            <v>12190436</v>
          </cell>
          <cell r="J304" t="str">
            <v>Логистика</v>
          </cell>
          <cell r="K304">
            <v>0</v>
          </cell>
          <cell r="N304">
            <v>26</v>
          </cell>
          <cell r="AC304" t="str">
            <v>От клиента при отмене</v>
          </cell>
        </row>
        <row r="305">
          <cell r="B305">
            <v>12190441</v>
          </cell>
          <cell r="J305" t="str">
            <v>Логистика</v>
          </cell>
          <cell r="K305">
            <v>0</v>
          </cell>
          <cell r="N305">
            <v>41.73</v>
          </cell>
          <cell r="AC305" t="str">
            <v>К клиенту при продаже</v>
          </cell>
        </row>
        <row r="306">
          <cell r="B306">
            <v>12190441</v>
          </cell>
          <cell r="J306" t="str">
            <v>Продажа</v>
          </cell>
          <cell r="K306">
            <v>1305</v>
          </cell>
          <cell r="N306">
            <v>0</v>
          </cell>
        </row>
        <row r="307">
          <cell r="B307">
            <v>12190436</v>
          </cell>
          <cell r="J307" t="str">
            <v>Логистика</v>
          </cell>
          <cell r="K307">
            <v>0</v>
          </cell>
          <cell r="N307">
            <v>41.73</v>
          </cell>
          <cell r="AC307" t="str">
            <v>К клиенту при продаже</v>
          </cell>
        </row>
        <row r="308">
          <cell r="B308">
            <v>12190436</v>
          </cell>
          <cell r="J308" t="str">
            <v>Продажа</v>
          </cell>
          <cell r="K308">
            <v>1320</v>
          </cell>
          <cell r="N308">
            <v>0</v>
          </cell>
        </row>
        <row r="309">
          <cell r="B309">
            <v>12190434</v>
          </cell>
          <cell r="J309" t="str">
            <v>Логистика</v>
          </cell>
          <cell r="K309">
            <v>0</v>
          </cell>
          <cell r="N309">
            <v>48.13</v>
          </cell>
          <cell r="AC309" t="str">
            <v>К клиенту при продаже</v>
          </cell>
        </row>
        <row r="310">
          <cell r="B310">
            <v>12190434</v>
          </cell>
          <cell r="J310" t="str">
            <v>Продажа</v>
          </cell>
          <cell r="K310">
            <v>1305</v>
          </cell>
          <cell r="N310">
            <v>0</v>
          </cell>
        </row>
        <row r="311">
          <cell r="B311">
            <v>12190430</v>
          </cell>
          <cell r="J311" t="str">
            <v>Логистика</v>
          </cell>
          <cell r="K311">
            <v>0</v>
          </cell>
          <cell r="N311">
            <v>40.74</v>
          </cell>
          <cell r="AC311" t="str">
            <v>К клиенту при продаже</v>
          </cell>
        </row>
        <row r="312">
          <cell r="B312">
            <v>12190430</v>
          </cell>
          <cell r="J312" t="str">
            <v>Продажа</v>
          </cell>
          <cell r="K312">
            <v>1496</v>
          </cell>
          <cell r="N312">
            <v>0</v>
          </cell>
        </row>
        <row r="313">
          <cell r="B313">
            <v>100059556</v>
          </cell>
          <cell r="J313" t="str">
            <v>Логистика</v>
          </cell>
          <cell r="K313">
            <v>0</v>
          </cell>
          <cell r="N313">
            <v>30.52</v>
          </cell>
          <cell r="AC313" t="str">
            <v>К клиенту при продаже</v>
          </cell>
        </row>
        <row r="314">
          <cell r="B314">
            <v>100059556</v>
          </cell>
          <cell r="J314" t="str">
            <v>Продажа</v>
          </cell>
          <cell r="K314">
            <v>794</v>
          </cell>
          <cell r="N314">
            <v>0</v>
          </cell>
        </row>
        <row r="315">
          <cell r="B315">
            <v>21013817</v>
          </cell>
          <cell r="J315" t="str">
            <v>Логистика</v>
          </cell>
          <cell r="K315">
            <v>0</v>
          </cell>
          <cell r="N315">
            <v>70.05</v>
          </cell>
          <cell r="AC315" t="str">
            <v>К клиенту при отмене</v>
          </cell>
        </row>
        <row r="316">
          <cell r="B316">
            <v>21013817</v>
          </cell>
          <cell r="J316" t="str">
            <v>Логистика</v>
          </cell>
          <cell r="K316">
            <v>0</v>
          </cell>
          <cell r="N316">
            <v>46.7</v>
          </cell>
          <cell r="AC316" t="str">
            <v>От клиента при отмене</v>
          </cell>
        </row>
        <row r="317">
          <cell r="B317">
            <v>466504507</v>
          </cell>
          <cell r="J317" t="str">
            <v>Логистика</v>
          </cell>
          <cell r="K317">
            <v>0</v>
          </cell>
          <cell r="N317">
            <v>46.46</v>
          </cell>
          <cell r="AC317" t="str">
            <v>К клиенту при продаже</v>
          </cell>
        </row>
        <row r="318">
          <cell r="B318">
            <v>466504507</v>
          </cell>
          <cell r="J318" t="str">
            <v>Продажа</v>
          </cell>
          <cell r="K318">
            <v>621</v>
          </cell>
          <cell r="N318">
            <v>0</v>
          </cell>
        </row>
        <row r="319">
          <cell r="B319">
            <v>23791008</v>
          </cell>
          <cell r="J319" t="str">
            <v>Логистика</v>
          </cell>
          <cell r="K319">
            <v>0</v>
          </cell>
          <cell r="N319">
            <v>39.090000000000003</v>
          </cell>
          <cell r="AC319" t="str">
            <v>К клиенту при продаже</v>
          </cell>
        </row>
        <row r="320">
          <cell r="B320">
            <v>23791008</v>
          </cell>
          <cell r="J320" t="str">
            <v>Продажа</v>
          </cell>
          <cell r="K320">
            <v>925</v>
          </cell>
          <cell r="N320">
            <v>0</v>
          </cell>
        </row>
        <row r="321">
          <cell r="B321">
            <v>415555134</v>
          </cell>
          <cell r="J321" t="str">
            <v>Логистика</v>
          </cell>
          <cell r="K321">
            <v>0</v>
          </cell>
          <cell r="N321">
            <v>57.8</v>
          </cell>
          <cell r="AC321" t="str">
            <v>К клиенту при отмене</v>
          </cell>
        </row>
        <row r="322">
          <cell r="B322">
            <v>415555134</v>
          </cell>
          <cell r="J322" t="str">
            <v>Логистика</v>
          </cell>
          <cell r="K322">
            <v>0</v>
          </cell>
          <cell r="N322">
            <v>48.17</v>
          </cell>
          <cell r="AC322" t="str">
            <v>От клиента при отмене</v>
          </cell>
        </row>
        <row r="323">
          <cell r="B323">
            <v>12190430</v>
          </cell>
          <cell r="J323" t="str">
            <v>Логистика</v>
          </cell>
          <cell r="K323">
            <v>0</v>
          </cell>
          <cell r="N323">
            <v>29.14</v>
          </cell>
          <cell r="AC323" t="str">
            <v>К клиенту при продаже</v>
          </cell>
        </row>
        <row r="324">
          <cell r="B324">
            <v>12190430</v>
          </cell>
          <cell r="J324" t="str">
            <v>Продажа</v>
          </cell>
          <cell r="K324">
            <v>1496</v>
          </cell>
          <cell r="N324">
            <v>0</v>
          </cell>
        </row>
        <row r="325">
          <cell r="B325">
            <v>415453606</v>
          </cell>
          <cell r="J325" t="str">
            <v>Логистика</v>
          </cell>
          <cell r="K325">
            <v>0</v>
          </cell>
          <cell r="N325">
            <v>106.05</v>
          </cell>
          <cell r="AC325" t="str">
            <v>К клиенту при продаже</v>
          </cell>
        </row>
        <row r="326">
          <cell r="B326">
            <v>415453606</v>
          </cell>
          <cell r="J326" t="str">
            <v>Сумма удержанная за начисленные баллы программы лояльности</v>
          </cell>
          <cell r="K326">
            <v>0</v>
          </cell>
          <cell r="N326">
            <v>0</v>
          </cell>
          <cell r="AC326" t="str">
            <v>Сумма удержанная за начисленные баллы программы лояльности</v>
          </cell>
        </row>
        <row r="327">
          <cell r="B327">
            <v>415453606</v>
          </cell>
          <cell r="J327" t="str">
            <v>Стоимость участия в программе лояльности</v>
          </cell>
          <cell r="K327">
            <v>0</v>
          </cell>
          <cell r="N327">
            <v>0</v>
          </cell>
          <cell r="AC327" t="str">
            <v>Стоимость участия в программе лояльности</v>
          </cell>
        </row>
        <row r="328">
          <cell r="B328">
            <v>415453606</v>
          </cell>
          <cell r="J328" t="str">
            <v>Продажа</v>
          </cell>
          <cell r="K328">
            <v>820</v>
          </cell>
          <cell r="N328">
            <v>0</v>
          </cell>
        </row>
        <row r="329">
          <cell r="B329">
            <v>12190436</v>
          </cell>
          <cell r="J329" t="str">
            <v>Логистика</v>
          </cell>
          <cell r="K329">
            <v>0</v>
          </cell>
          <cell r="N329">
            <v>31.33</v>
          </cell>
          <cell r="AC329" t="str">
            <v>К клиенту при продаже</v>
          </cell>
        </row>
        <row r="330">
          <cell r="B330">
            <v>12190436</v>
          </cell>
          <cell r="J330" t="str">
            <v>Продажа</v>
          </cell>
          <cell r="K330">
            <v>1311</v>
          </cell>
          <cell r="N330">
            <v>0</v>
          </cell>
        </row>
        <row r="331">
          <cell r="B331">
            <v>12190429</v>
          </cell>
          <cell r="J331" t="str">
            <v>Логистика</v>
          </cell>
          <cell r="K331">
            <v>0</v>
          </cell>
          <cell r="N331">
            <v>40.74</v>
          </cell>
          <cell r="AC331" t="str">
            <v>К клиенту при продаже</v>
          </cell>
        </row>
        <row r="332">
          <cell r="B332">
            <v>12190429</v>
          </cell>
          <cell r="J332" t="str">
            <v>Продажа</v>
          </cell>
          <cell r="K332">
            <v>1496</v>
          </cell>
          <cell r="N332">
            <v>0</v>
          </cell>
        </row>
        <row r="333">
          <cell r="B333">
            <v>23791014</v>
          </cell>
          <cell r="J333" t="str">
            <v>Логистика</v>
          </cell>
          <cell r="K333">
            <v>0</v>
          </cell>
          <cell r="N333">
            <v>22.2</v>
          </cell>
          <cell r="AC333" t="str">
            <v>К клиенту при продаже</v>
          </cell>
        </row>
        <row r="334">
          <cell r="B334">
            <v>23791014</v>
          </cell>
          <cell r="J334" t="str">
            <v>Продажа</v>
          </cell>
          <cell r="K334">
            <v>1075</v>
          </cell>
          <cell r="N334">
            <v>0</v>
          </cell>
        </row>
        <row r="335">
          <cell r="B335">
            <v>23791008</v>
          </cell>
          <cell r="J335" t="str">
            <v>Логистика</v>
          </cell>
          <cell r="K335">
            <v>0</v>
          </cell>
          <cell r="N335">
            <v>39.090000000000003</v>
          </cell>
          <cell r="AC335" t="str">
            <v>К клиенту при продаже</v>
          </cell>
        </row>
        <row r="336">
          <cell r="B336">
            <v>23791008</v>
          </cell>
          <cell r="J336" t="str">
            <v>Продажа</v>
          </cell>
          <cell r="K336">
            <v>925</v>
          </cell>
          <cell r="N336">
            <v>0</v>
          </cell>
        </row>
        <row r="337">
          <cell r="B337">
            <v>114899777</v>
          </cell>
          <cell r="J337" t="str">
            <v>Логистика</v>
          </cell>
          <cell r="K337">
            <v>0</v>
          </cell>
          <cell r="N337">
            <v>43.58</v>
          </cell>
          <cell r="AC337" t="str">
            <v>К клиенту при продаже</v>
          </cell>
        </row>
        <row r="338">
          <cell r="B338">
            <v>114899777</v>
          </cell>
          <cell r="J338" t="str">
            <v>Продажа</v>
          </cell>
          <cell r="K338">
            <v>850</v>
          </cell>
          <cell r="N338">
            <v>0</v>
          </cell>
        </row>
        <row r="339">
          <cell r="B339">
            <v>12190435</v>
          </cell>
          <cell r="J339" t="str">
            <v>Логистика</v>
          </cell>
          <cell r="K339">
            <v>0</v>
          </cell>
          <cell r="N339">
            <v>31.33</v>
          </cell>
          <cell r="AC339" t="str">
            <v>К клиенту при продаже</v>
          </cell>
        </row>
        <row r="340">
          <cell r="B340">
            <v>12190435</v>
          </cell>
          <cell r="J340" t="str">
            <v>Продажа</v>
          </cell>
          <cell r="K340">
            <v>1305</v>
          </cell>
          <cell r="N340">
            <v>0</v>
          </cell>
        </row>
        <row r="341">
          <cell r="B341">
            <v>101238524</v>
          </cell>
          <cell r="J341" t="str">
            <v>Логистика</v>
          </cell>
          <cell r="K341">
            <v>0</v>
          </cell>
          <cell r="N341">
            <v>31.28</v>
          </cell>
          <cell r="AC341" t="str">
            <v>К клиенту при продаже</v>
          </cell>
        </row>
        <row r="342">
          <cell r="B342">
            <v>101238524</v>
          </cell>
          <cell r="J342" t="str">
            <v>Продажа</v>
          </cell>
          <cell r="K342">
            <v>850</v>
          </cell>
          <cell r="N342">
            <v>0</v>
          </cell>
        </row>
        <row r="343">
          <cell r="B343">
            <v>12190430</v>
          </cell>
          <cell r="J343" t="str">
            <v>Логистика</v>
          </cell>
          <cell r="K343">
            <v>0</v>
          </cell>
          <cell r="N343">
            <v>24.79</v>
          </cell>
          <cell r="AC343" t="str">
            <v>К клиенту при продаже</v>
          </cell>
        </row>
        <row r="344">
          <cell r="B344">
            <v>12190430</v>
          </cell>
          <cell r="J344" t="str">
            <v>Продажа</v>
          </cell>
          <cell r="K344">
            <v>1496</v>
          </cell>
          <cell r="N344">
            <v>0</v>
          </cell>
        </row>
        <row r="345">
          <cell r="B345">
            <v>12190430</v>
          </cell>
          <cell r="J345" t="str">
            <v>Логистика</v>
          </cell>
          <cell r="K345">
            <v>0</v>
          </cell>
          <cell r="N345">
            <v>40.74</v>
          </cell>
          <cell r="AC345" t="str">
            <v>К клиенту при продаже</v>
          </cell>
        </row>
        <row r="346">
          <cell r="B346">
            <v>12190430</v>
          </cell>
          <cell r="J346" t="str">
            <v>Продажа</v>
          </cell>
          <cell r="K346">
            <v>1486</v>
          </cell>
          <cell r="N346">
            <v>0</v>
          </cell>
        </row>
        <row r="347">
          <cell r="B347">
            <v>12190442</v>
          </cell>
          <cell r="J347" t="str">
            <v>Логистика</v>
          </cell>
          <cell r="K347">
            <v>0</v>
          </cell>
          <cell r="N347">
            <v>45.14</v>
          </cell>
          <cell r="AC347" t="str">
            <v>К клиенту при продаже</v>
          </cell>
        </row>
        <row r="348">
          <cell r="B348">
            <v>12190442</v>
          </cell>
          <cell r="J348" t="str">
            <v>Продажа</v>
          </cell>
          <cell r="K348">
            <v>1483</v>
          </cell>
          <cell r="N348">
            <v>0</v>
          </cell>
        </row>
        <row r="349">
          <cell r="B349">
            <v>23791006</v>
          </cell>
          <cell r="J349" t="str">
            <v>Логистика</v>
          </cell>
          <cell r="K349">
            <v>0</v>
          </cell>
          <cell r="N349">
            <v>54.68</v>
          </cell>
          <cell r="AC349" t="str">
            <v>К клиенту при продаже</v>
          </cell>
        </row>
        <row r="350">
          <cell r="B350">
            <v>23791006</v>
          </cell>
          <cell r="J350" t="str">
            <v>Продажа</v>
          </cell>
          <cell r="K350">
            <v>869</v>
          </cell>
          <cell r="N350">
            <v>0</v>
          </cell>
        </row>
        <row r="351">
          <cell r="B351">
            <v>21013822</v>
          </cell>
          <cell r="J351" t="str">
            <v>Логистика</v>
          </cell>
          <cell r="K351">
            <v>0</v>
          </cell>
          <cell r="N351">
            <v>69.92</v>
          </cell>
          <cell r="AC351" t="str">
            <v>К клиенту при продаже</v>
          </cell>
        </row>
        <row r="352">
          <cell r="B352">
            <v>21013822</v>
          </cell>
          <cell r="J352" t="str">
            <v>Продажа</v>
          </cell>
          <cell r="K352">
            <v>1305</v>
          </cell>
          <cell r="N352">
            <v>0</v>
          </cell>
        </row>
        <row r="353">
          <cell r="B353">
            <v>21013822</v>
          </cell>
          <cell r="J353" t="str">
            <v>Логистика</v>
          </cell>
          <cell r="K353">
            <v>0</v>
          </cell>
          <cell r="N353">
            <v>59.95</v>
          </cell>
          <cell r="AC353" t="str">
            <v>К клиенту при продаже</v>
          </cell>
        </row>
        <row r="354">
          <cell r="B354">
            <v>21013822</v>
          </cell>
          <cell r="J354" t="str">
            <v>Продажа</v>
          </cell>
          <cell r="K354">
            <v>1305</v>
          </cell>
          <cell r="N354">
            <v>0</v>
          </cell>
        </row>
        <row r="355">
          <cell r="B355">
            <v>23791006</v>
          </cell>
          <cell r="J355" t="str">
            <v>Логистика</v>
          </cell>
          <cell r="K355">
            <v>0</v>
          </cell>
          <cell r="N355">
            <v>50.78</v>
          </cell>
          <cell r="AC355" t="str">
            <v>К клиенту при продаже</v>
          </cell>
        </row>
        <row r="356">
          <cell r="B356">
            <v>23791006</v>
          </cell>
          <cell r="J356" t="str">
            <v>Продажа</v>
          </cell>
          <cell r="K356">
            <v>875</v>
          </cell>
          <cell r="N356">
            <v>0</v>
          </cell>
        </row>
        <row r="357">
          <cell r="B357">
            <v>21013821</v>
          </cell>
          <cell r="J357" t="str">
            <v>Логистика</v>
          </cell>
          <cell r="K357">
            <v>0</v>
          </cell>
          <cell r="N357">
            <v>60.85</v>
          </cell>
          <cell r="AC357" t="str">
            <v>К клиенту при продаже</v>
          </cell>
        </row>
        <row r="358">
          <cell r="B358">
            <v>21013821</v>
          </cell>
          <cell r="J358" t="str">
            <v>Продажа</v>
          </cell>
          <cell r="K358">
            <v>1496</v>
          </cell>
          <cell r="N358">
            <v>0</v>
          </cell>
        </row>
        <row r="359">
          <cell r="B359">
            <v>21013815</v>
          </cell>
          <cell r="J359" t="str">
            <v>Логистика</v>
          </cell>
          <cell r="K359">
            <v>0</v>
          </cell>
          <cell r="N359">
            <v>60.85</v>
          </cell>
          <cell r="AC359" t="str">
            <v>К клиенту при продаже</v>
          </cell>
        </row>
        <row r="360">
          <cell r="B360">
            <v>21013815</v>
          </cell>
          <cell r="J360" t="str">
            <v>Продажа</v>
          </cell>
          <cell r="K360">
            <v>1486</v>
          </cell>
          <cell r="N360">
            <v>0</v>
          </cell>
        </row>
        <row r="361">
          <cell r="B361">
            <v>21013815</v>
          </cell>
          <cell r="J361" t="str">
            <v>Логистика</v>
          </cell>
          <cell r="K361">
            <v>0</v>
          </cell>
          <cell r="N361">
            <v>65.52</v>
          </cell>
          <cell r="AC361" t="str">
            <v>К клиенту при продаже</v>
          </cell>
        </row>
        <row r="362">
          <cell r="B362">
            <v>21013815</v>
          </cell>
          <cell r="J362" t="str">
            <v>Продажа</v>
          </cell>
          <cell r="K362">
            <v>1486</v>
          </cell>
          <cell r="N362">
            <v>0</v>
          </cell>
        </row>
        <row r="363">
          <cell r="B363">
            <v>114903541</v>
          </cell>
          <cell r="J363" t="str">
            <v>Логистика</v>
          </cell>
          <cell r="K363">
            <v>0</v>
          </cell>
          <cell r="N363">
            <v>57.28</v>
          </cell>
          <cell r="AC363" t="str">
            <v>К клиенту при продаже</v>
          </cell>
        </row>
        <row r="364">
          <cell r="B364">
            <v>114903541</v>
          </cell>
          <cell r="J364" t="str">
            <v>Продажа</v>
          </cell>
          <cell r="K364">
            <v>850</v>
          </cell>
          <cell r="N364">
            <v>0</v>
          </cell>
        </row>
        <row r="365">
          <cell r="B365">
            <v>12190438</v>
          </cell>
          <cell r="J365" t="str">
            <v>Логистика</v>
          </cell>
          <cell r="K365">
            <v>0</v>
          </cell>
          <cell r="N365">
            <v>38.4</v>
          </cell>
          <cell r="AC365" t="str">
            <v>К клиенту при продаже</v>
          </cell>
        </row>
        <row r="366">
          <cell r="B366">
            <v>12190438</v>
          </cell>
          <cell r="J366" t="str">
            <v>Продажа</v>
          </cell>
          <cell r="K366">
            <v>1333</v>
          </cell>
          <cell r="N366">
            <v>0</v>
          </cell>
        </row>
        <row r="367">
          <cell r="B367">
            <v>12190441</v>
          </cell>
          <cell r="J367" t="str">
            <v>Логистика</v>
          </cell>
          <cell r="K367">
            <v>0</v>
          </cell>
          <cell r="N367">
            <v>51.2</v>
          </cell>
          <cell r="AC367" t="str">
            <v>К клиенту при продаже</v>
          </cell>
        </row>
        <row r="368">
          <cell r="B368">
            <v>12190441</v>
          </cell>
          <cell r="J368" t="str">
            <v>Продажа</v>
          </cell>
          <cell r="K368">
            <v>1364</v>
          </cell>
          <cell r="N368">
            <v>0</v>
          </cell>
        </row>
        <row r="369">
          <cell r="B369">
            <v>23791012</v>
          </cell>
          <cell r="J369" t="str">
            <v>Логистика</v>
          </cell>
          <cell r="K369">
            <v>0</v>
          </cell>
          <cell r="N369">
            <v>69.87</v>
          </cell>
          <cell r="AC369" t="str">
            <v>К клиенту при продаже</v>
          </cell>
        </row>
        <row r="370">
          <cell r="B370">
            <v>23791012</v>
          </cell>
          <cell r="J370" t="str">
            <v>Продажа</v>
          </cell>
          <cell r="K370">
            <v>850</v>
          </cell>
          <cell r="N370">
            <v>0</v>
          </cell>
        </row>
        <row r="371">
          <cell r="B371">
            <v>21013822</v>
          </cell>
          <cell r="J371" t="str">
            <v>Логистика</v>
          </cell>
          <cell r="K371">
            <v>0</v>
          </cell>
          <cell r="N371">
            <v>42.5</v>
          </cell>
          <cell r="AC371" t="str">
            <v>К клиенту при продаже</v>
          </cell>
        </row>
        <row r="372">
          <cell r="B372">
            <v>21013822</v>
          </cell>
          <cell r="J372" t="str">
            <v>Продажа</v>
          </cell>
          <cell r="K372">
            <v>1305</v>
          </cell>
          <cell r="N372">
            <v>0</v>
          </cell>
        </row>
        <row r="373">
          <cell r="B373">
            <v>12190436</v>
          </cell>
          <cell r="J373" t="str">
            <v>Логистика</v>
          </cell>
          <cell r="K373">
            <v>0</v>
          </cell>
          <cell r="N373">
            <v>27.43</v>
          </cell>
          <cell r="AC373" t="str">
            <v>К клиенту при продаже</v>
          </cell>
        </row>
        <row r="374">
          <cell r="B374">
            <v>12190436</v>
          </cell>
          <cell r="J374" t="str">
            <v>Продажа</v>
          </cell>
          <cell r="K374">
            <v>1320</v>
          </cell>
          <cell r="N374">
            <v>0</v>
          </cell>
        </row>
        <row r="375">
          <cell r="B375">
            <v>12190436</v>
          </cell>
          <cell r="J375" t="str">
            <v>Логистика</v>
          </cell>
          <cell r="K375">
            <v>0</v>
          </cell>
          <cell r="N375">
            <v>31.33</v>
          </cell>
          <cell r="AC375" t="str">
            <v>К клиенту при продаже</v>
          </cell>
        </row>
        <row r="376">
          <cell r="B376">
            <v>12190436</v>
          </cell>
          <cell r="J376" t="str">
            <v>Продажа</v>
          </cell>
          <cell r="K376">
            <v>1311</v>
          </cell>
          <cell r="N376">
            <v>0</v>
          </cell>
        </row>
        <row r="377">
          <cell r="B377">
            <v>12190431</v>
          </cell>
          <cell r="J377" t="str">
            <v>Логистика</v>
          </cell>
          <cell r="K377">
            <v>0</v>
          </cell>
          <cell r="N377">
            <v>34.94</v>
          </cell>
          <cell r="AC377" t="str">
            <v>К клиенту при продаже</v>
          </cell>
        </row>
        <row r="378">
          <cell r="B378">
            <v>12190431</v>
          </cell>
          <cell r="J378" t="str">
            <v>Продажа</v>
          </cell>
          <cell r="K378">
            <v>1496</v>
          </cell>
          <cell r="N378">
            <v>0</v>
          </cell>
        </row>
        <row r="379">
          <cell r="B379">
            <v>12190441</v>
          </cell>
          <cell r="J379" t="str">
            <v>Логистика</v>
          </cell>
          <cell r="K379">
            <v>0</v>
          </cell>
          <cell r="N379">
            <v>38.520000000000003</v>
          </cell>
          <cell r="AC379" t="str">
            <v>К клиенту при продаже</v>
          </cell>
        </row>
        <row r="380">
          <cell r="B380">
            <v>12190441</v>
          </cell>
          <cell r="J380" t="str">
            <v>Продажа</v>
          </cell>
          <cell r="K380">
            <v>1296</v>
          </cell>
          <cell r="N380">
            <v>0</v>
          </cell>
        </row>
        <row r="381">
          <cell r="B381">
            <v>12190441</v>
          </cell>
          <cell r="J381" t="str">
            <v>Логистика</v>
          </cell>
          <cell r="K381">
            <v>0</v>
          </cell>
          <cell r="N381">
            <v>38.53</v>
          </cell>
          <cell r="AC381" t="str">
            <v>К клиенту при продаже</v>
          </cell>
        </row>
        <row r="382">
          <cell r="B382">
            <v>12190441</v>
          </cell>
          <cell r="J382" t="str">
            <v>Продажа</v>
          </cell>
          <cell r="K382">
            <v>1305</v>
          </cell>
          <cell r="N382">
            <v>0</v>
          </cell>
        </row>
        <row r="383">
          <cell r="B383">
            <v>12190441</v>
          </cell>
          <cell r="J383" t="str">
            <v>Логистика</v>
          </cell>
          <cell r="K383">
            <v>0</v>
          </cell>
          <cell r="N383">
            <v>33.729999999999997</v>
          </cell>
          <cell r="AC383" t="str">
            <v>К клиенту при продаже</v>
          </cell>
        </row>
        <row r="384">
          <cell r="B384">
            <v>12190441</v>
          </cell>
          <cell r="J384" t="str">
            <v>Продажа</v>
          </cell>
          <cell r="K384">
            <v>1305</v>
          </cell>
          <cell r="N384">
            <v>0</v>
          </cell>
        </row>
        <row r="385">
          <cell r="B385">
            <v>245203536</v>
          </cell>
          <cell r="J385" t="str">
            <v>Логистика</v>
          </cell>
          <cell r="K385">
            <v>0</v>
          </cell>
          <cell r="N385">
            <v>37.76</v>
          </cell>
          <cell r="AC385" t="str">
            <v>К клиенту при продаже</v>
          </cell>
        </row>
        <row r="386">
          <cell r="B386">
            <v>245203536</v>
          </cell>
          <cell r="J386" t="str">
            <v>Продажа</v>
          </cell>
          <cell r="K386">
            <v>621</v>
          </cell>
          <cell r="N386">
            <v>0</v>
          </cell>
        </row>
        <row r="387">
          <cell r="B387">
            <v>547847789</v>
          </cell>
          <cell r="J387" t="str">
            <v>Логистика</v>
          </cell>
          <cell r="K387">
            <v>0</v>
          </cell>
          <cell r="N387">
            <v>169.14</v>
          </cell>
          <cell r="AC387" t="str">
            <v>К клиенту при продаже</v>
          </cell>
        </row>
        <row r="388">
          <cell r="B388">
            <v>547847789</v>
          </cell>
          <cell r="J388" t="str">
            <v>Сумма удержанная за начисленные баллы программы лояльности</v>
          </cell>
          <cell r="K388">
            <v>0</v>
          </cell>
          <cell r="N388">
            <v>0</v>
          </cell>
          <cell r="AC388" t="str">
            <v>Сумма удержанная за начисленные баллы программы лояльности</v>
          </cell>
        </row>
        <row r="389">
          <cell r="B389">
            <v>547847789</v>
          </cell>
          <cell r="J389" t="str">
            <v>Стоимость участия в программе лояльности</v>
          </cell>
          <cell r="K389">
            <v>0</v>
          </cell>
          <cell r="N389">
            <v>0</v>
          </cell>
          <cell r="AC389" t="str">
            <v>Стоимость участия в программе лояльности</v>
          </cell>
        </row>
        <row r="390">
          <cell r="B390">
            <v>547847789</v>
          </cell>
          <cell r="J390" t="str">
            <v>Продажа</v>
          </cell>
          <cell r="K390">
            <v>3238</v>
          </cell>
          <cell r="N390">
            <v>0</v>
          </cell>
        </row>
        <row r="391">
          <cell r="B391">
            <v>245203536</v>
          </cell>
          <cell r="J391" t="str">
            <v>Логистика</v>
          </cell>
          <cell r="K391">
            <v>0</v>
          </cell>
          <cell r="N391">
            <v>40.659999999999997</v>
          </cell>
          <cell r="AC391" t="str">
            <v>К клиенту при продаже</v>
          </cell>
        </row>
        <row r="392">
          <cell r="B392">
            <v>245203536</v>
          </cell>
          <cell r="J392" t="str">
            <v>Продажа</v>
          </cell>
          <cell r="K392">
            <v>621</v>
          </cell>
          <cell r="N392">
            <v>0</v>
          </cell>
        </row>
        <row r="393">
          <cell r="B393">
            <v>23791010</v>
          </cell>
          <cell r="J393" t="str">
            <v>Логистика</v>
          </cell>
          <cell r="K393">
            <v>0</v>
          </cell>
          <cell r="N393">
            <v>33.880000000000003</v>
          </cell>
          <cell r="AC393" t="str">
            <v>К клиенту при продаже</v>
          </cell>
        </row>
        <row r="394">
          <cell r="B394">
            <v>23791010</v>
          </cell>
          <cell r="J394" t="str">
            <v>Продажа</v>
          </cell>
          <cell r="K394">
            <v>850</v>
          </cell>
          <cell r="N394">
            <v>0</v>
          </cell>
        </row>
        <row r="395">
          <cell r="B395">
            <v>12190429</v>
          </cell>
          <cell r="J395" t="str">
            <v>Логистика</v>
          </cell>
          <cell r="K395">
            <v>0</v>
          </cell>
          <cell r="N395">
            <v>32.04</v>
          </cell>
          <cell r="AC395" t="str">
            <v>К клиенту при продаже</v>
          </cell>
        </row>
        <row r="396">
          <cell r="B396">
            <v>12190429</v>
          </cell>
          <cell r="J396" t="str">
            <v>Продажа</v>
          </cell>
          <cell r="K396">
            <v>1496</v>
          </cell>
          <cell r="N396">
            <v>0</v>
          </cell>
        </row>
        <row r="397">
          <cell r="B397">
            <v>21013828</v>
          </cell>
          <cell r="J397" t="str">
            <v>Логистика</v>
          </cell>
          <cell r="K397">
            <v>0</v>
          </cell>
          <cell r="N397">
            <v>70.53</v>
          </cell>
          <cell r="AC397" t="str">
            <v>К клиенту при продаже</v>
          </cell>
        </row>
        <row r="398">
          <cell r="B398">
            <v>21013828</v>
          </cell>
          <cell r="J398" t="str">
            <v>Продажа</v>
          </cell>
          <cell r="K398">
            <v>1335</v>
          </cell>
          <cell r="N398">
            <v>0</v>
          </cell>
        </row>
        <row r="399">
          <cell r="B399">
            <v>100637611</v>
          </cell>
          <cell r="J399" t="str">
            <v>Логистика</v>
          </cell>
          <cell r="K399">
            <v>0</v>
          </cell>
          <cell r="N399">
            <v>39</v>
          </cell>
          <cell r="AC399" t="str">
            <v>К клиенту при отмене</v>
          </cell>
        </row>
        <row r="400">
          <cell r="B400">
            <v>100637611</v>
          </cell>
          <cell r="J400" t="str">
            <v>Логистика</v>
          </cell>
          <cell r="K400">
            <v>0</v>
          </cell>
          <cell r="N400">
            <v>26</v>
          </cell>
          <cell r="AC400" t="str">
            <v>От клиента при отмене</v>
          </cell>
        </row>
        <row r="401">
          <cell r="B401">
            <v>12190429</v>
          </cell>
          <cell r="J401" t="str">
            <v>Логистика</v>
          </cell>
          <cell r="K401">
            <v>0</v>
          </cell>
          <cell r="N401">
            <v>34.94</v>
          </cell>
          <cell r="AC401" t="str">
            <v>К клиенту при продаже</v>
          </cell>
        </row>
        <row r="402">
          <cell r="B402">
            <v>12190429</v>
          </cell>
          <cell r="J402" t="str">
            <v>Продажа</v>
          </cell>
          <cell r="K402">
            <v>1496</v>
          </cell>
          <cell r="N402">
            <v>0</v>
          </cell>
        </row>
        <row r="403">
          <cell r="B403">
            <v>21013828</v>
          </cell>
          <cell r="J403" t="str">
            <v>Логистика</v>
          </cell>
          <cell r="K403">
            <v>0</v>
          </cell>
          <cell r="N403">
            <v>70.53</v>
          </cell>
          <cell r="AC403" t="str">
            <v>К клиенту при продаже</v>
          </cell>
        </row>
        <row r="404">
          <cell r="B404">
            <v>21013828</v>
          </cell>
          <cell r="J404" t="str">
            <v>Продажа</v>
          </cell>
          <cell r="K404">
            <v>1335</v>
          </cell>
          <cell r="N404">
            <v>0</v>
          </cell>
        </row>
        <row r="405">
          <cell r="B405">
            <v>506048351</v>
          </cell>
          <cell r="J405" t="str">
            <v>Логистика</v>
          </cell>
          <cell r="K405">
            <v>0</v>
          </cell>
          <cell r="N405">
            <v>39.1</v>
          </cell>
          <cell r="AC405" t="str">
            <v>К клиенту при продаже</v>
          </cell>
        </row>
        <row r="406">
          <cell r="B406">
            <v>506048351</v>
          </cell>
          <cell r="J406" t="str">
            <v>Продажа</v>
          </cell>
          <cell r="K406">
            <v>1026</v>
          </cell>
          <cell r="N406">
            <v>0</v>
          </cell>
        </row>
        <row r="407">
          <cell r="B407">
            <v>12645299</v>
          </cell>
          <cell r="J407" t="str">
            <v>Логистика</v>
          </cell>
          <cell r="K407">
            <v>0</v>
          </cell>
          <cell r="N407">
            <v>100.1</v>
          </cell>
          <cell r="AC407" t="str">
            <v>К клиенту при продаже</v>
          </cell>
        </row>
        <row r="408">
          <cell r="B408">
            <v>12645299</v>
          </cell>
          <cell r="J408" t="str">
            <v>Сумма удержанная за начисленные баллы программы лояльности</v>
          </cell>
          <cell r="K408">
            <v>0</v>
          </cell>
          <cell r="N408">
            <v>0</v>
          </cell>
          <cell r="AC408" t="str">
            <v>Сумма удержанная за начисленные баллы программы лояльности</v>
          </cell>
        </row>
        <row r="409">
          <cell r="B409">
            <v>12645299</v>
          </cell>
          <cell r="J409" t="str">
            <v>Стоимость участия в программе лояльности</v>
          </cell>
          <cell r="K409">
            <v>0</v>
          </cell>
          <cell r="N409">
            <v>0</v>
          </cell>
          <cell r="AC409" t="str">
            <v>Стоимость участия в программе лояльности</v>
          </cell>
        </row>
        <row r="410">
          <cell r="B410">
            <v>12645299</v>
          </cell>
          <cell r="J410" t="str">
            <v>Продажа</v>
          </cell>
          <cell r="K410">
            <v>5207</v>
          </cell>
          <cell r="N410">
            <v>0</v>
          </cell>
        </row>
        <row r="411">
          <cell r="B411">
            <v>23791011</v>
          </cell>
          <cell r="J411" t="str">
            <v>Логистика</v>
          </cell>
          <cell r="K411">
            <v>0</v>
          </cell>
          <cell r="N411">
            <v>69.89</v>
          </cell>
          <cell r="AC411" t="str">
            <v>К клиенту при продаже</v>
          </cell>
        </row>
        <row r="412">
          <cell r="B412">
            <v>23791011</v>
          </cell>
          <cell r="J412" t="str">
            <v>Продажа</v>
          </cell>
          <cell r="K412">
            <v>1075</v>
          </cell>
          <cell r="N412">
            <v>0</v>
          </cell>
        </row>
        <row r="413">
          <cell r="B413">
            <v>21013821</v>
          </cell>
          <cell r="J413" t="str">
            <v>Логистика</v>
          </cell>
          <cell r="K413">
            <v>0</v>
          </cell>
          <cell r="N413">
            <v>56.18</v>
          </cell>
          <cell r="AC413" t="str">
            <v>К клиенту при продаже</v>
          </cell>
        </row>
        <row r="414">
          <cell r="B414">
            <v>21013821</v>
          </cell>
          <cell r="J414" t="str">
            <v>Продажа</v>
          </cell>
          <cell r="K414">
            <v>1496</v>
          </cell>
          <cell r="N414">
            <v>0</v>
          </cell>
        </row>
        <row r="415">
          <cell r="B415">
            <v>12190431</v>
          </cell>
          <cell r="J415" t="str">
            <v>Логистика</v>
          </cell>
          <cell r="K415">
            <v>0</v>
          </cell>
          <cell r="N415">
            <v>40.74</v>
          </cell>
          <cell r="AC415" t="str">
            <v>К клиенту при продаже</v>
          </cell>
        </row>
        <row r="416">
          <cell r="B416">
            <v>12190431</v>
          </cell>
          <cell r="J416" t="str">
            <v>Продажа</v>
          </cell>
          <cell r="K416">
            <v>1486</v>
          </cell>
          <cell r="N416">
            <v>0</v>
          </cell>
        </row>
        <row r="417">
          <cell r="B417">
            <v>415555134</v>
          </cell>
          <cell r="J417" t="str">
            <v>Логистика</v>
          </cell>
          <cell r="K417">
            <v>0</v>
          </cell>
          <cell r="N417">
            <v>62.7</v>
          </cell>
          <cell r="AC417" t="str">
            <v>К клиенту при продаже</v>
          </cell>
        </row>
        <row r="418">
          <cell r="B418">
            <v>415555134</v>
          </cell>
          <cell r="J418" t="str">
            <v>Продажа</v>
          </cell>
          <cell r="K418">
            <v>820</v>
          </cell>
          <cell r="N418">
            <v>0</v>
          </cell>
        </row>
        <row r="419">
          <cell r="B419">
            <v>12190441</v>
          </cell>
          <cell r="J419" t="str">
            <v>Логистика</v>
          </cell>
          <cell r="K419">
            <v>0</v>
          </cell>
          <cell r="N419">
            <v>51.33</v>
          </cell>
          <cell r="AC419" t="str">
            <v>К клиенту при продаже</v>
          </cell>
        </row>
        <row r="420">
          <cell r="B420">
            <v>12190441</v>
          </cell>
          <cell r="J420" t="str">
            <v>Продажа</v>
          </cell>
          <cell r="K420">
            <v>1305</v>
          </cell>
          <cell r="N420">
            <v>0</v>
          </cell>
        </row>
        <row r="421">
          <cell r="B421">
            <v>21013825</v>
          </cell>
          <cell r="J421" t="str">
            <v>Логистика</v>
          </cell>
          <cell r="K421">
            <v>0</v>
          </cell>
          <cell r="N421">
            <v>35.32</v>
          </cell>
          <cell r="AC421" t="str">
            <v>К клиенту при продаже</v>
          </cell>
        </row>
        <row r="422">
          <cell r="B422">
            <v>21013825</v>
          </cell>
          <cell r="J422" t="str">
            <v>Продажа</v>
          </cell>
          <cell r="K422">
            <v>1291</v>
          </cell>
          <cell r="N422">
            <v>0</v>
          </cell>
        </row>
        <row r="423">
          <cell r="B423">
            <v>12190441</v>
          </cell>
          <cell r="J423" t="str">
            <v>Логистика</v>
          </cell>
          <cell r="K423">
            <v>0</v>
          </cell>
          <cell r="N423">
            <v>44.8</v>
          </cell>
          <cell r="AC423" t="str">
            <v>К клиенту при отмене</v>
          </cell>
        </row>
        <row r="424">
          <cell r="B424">
            <v>12190441</v>
          </cell>
          <cell r="J424" t="str">
            <v>Логистика</v>
          </cell>
          <cell r="K424">
            <v>0</v>
          </cell>
          <cell r="N424">
            <v>32</v>
          </cell>
          <cell r="AC424" t="str">
            <v>От клиента при отмене</v>
          </cell>
        </row>
        <row r="425">
          <cell r="B425">
            <v>100059556</v>
          </cell>
          <cell r="J425" t="str">
            <v>Логистика</v>
          </cell>
          <cell r="K425">
            <v>0</v>
          </cell>
          <cell r="N425">
            <v>43.57</v>
          </cell>
          <cell r="AC425" t="str">
            <v>К клиенту при продаже</v>
          </cell>
        </row>
        <row r="426">
          <cell r="B426">
            <v>100059556</v>
          </cell>
          <cell r="J426" t="str">
            <v>Продажа</v>
          </cell>
          <cell r="K426">
            <v>792</v>
          </cell>
          <cell r="N426">
            <v>0</v>
          </cell>
        </row>
        <row r="427">
          <cell r="B427">
            <v>114905354</v>
          </cell>
          <cell r="J427" t="str">
            <v>Логистика</v>
          </cell>
          <cell r="K427">
            <v>0</v>
          </cell>
          <cell r="N427">
            <v>56.63</v>
          </cell>
          <cell r="AC427" t="str">
            <v>К клиенту при продаже</v>
          </cell>
        </row>
        <row r="428">
          <cell r="B428">
            <v>114905354</v>
          </cell>
          <cell r="J428" t="str">
            <v>Продажа</v>
          </cell>
          <cell r="K428">
            <v>866.25</v>
          </cell>
          <cell r="N428">
            <v>0</v>
          </cell>
        </row>
        <row r="429">
          <cell r="B429">
            <v>545073777</v>
          </cell>
          <cell r="J429" t="str">
            <v>Логистика</v>
          </cell>
          <cell r="K429">
            <v>0</v>
          </cell>
          <cell r="N429">
            <v>70.680000000000007</v>
          </cell>
          <cell r="AC429" t="str">
            <v>К клиенту при продаже</v>
          </cell>
        </row>
        <row r="430">
          <cell r="B430">
            <v>545073777</v>
          </cell>
          <cell r="J430" t="str">
            <v>Продажа</v>
          </cell>
          <cell r="K430">
            <v>515</v>
          </cell>
          <cell r="N430">
            <v>0</v>
          </cell>
        </row>
        <row r="431">
          <cell r="B431">
            <v>12190438</v>
          </cell>
          <cell r="J431" t="str">
            <v>Логистика</v>
          </cell>
          <cell r="K431">
            <v>0</v>
          </cell>
          <cell r="N431">
            <v>41.73</v>
          </cell>
          <cell r="AC431" t="str">
            <v>К клиенту при продаже</v>
          </cell>
        </row>
        <row r="432">
          <cell r="B432">
            <v>12190438</v>
          </cell>
          <cell r="J432" t="str">
            <v>Продажа</v>
          </cell>
          <cell r="K432">
            <v>1311</v>
          </cell>
          <cell r="N432">
            <v>0</v>
          </cell>
        </row>
        <row r="433">
          <cell r="B433">
            <v>12190441</v>
          </cell>
          <cell r="J433" t="str">
            <v>Логистика</v>
          </cell>
          <cell r="K433">
            <v>0</v>
          </cell>
          <cell r="N433">
            <v>44.92</v>
          </cell>
          <cell r="AC433" t="str">
            <v>К клиенту при продаже</v>
          </cell>
        </row>
        <row r="434">
          <cell r="B434">
            <v>12190441</v>
          </cell>
          <cell r="J434" t="str">
            <v>Продажа</v>
          </cell>
          <cell r="K434">
            <v>1296</v>
          </cell>
          <cell r="N434">
            <v>0</v>
          </cell>
        </row>
        <row r="435">
          <cell r="B435">
            <v>12190440</v>
          </cell>
          <cell r="J435" t="str">
            <v>Логистика</v>
          </cell>
          <cell r="K435">
            <v>0</v>
          </cell>
          <cell r="N435">
            <v>43.64</v>
          </cell>
          <cell r="AC435" t="str">
            <v>К клиенту при продаже</v>
          </cell>
        </row>
        <row r="436">
          <cell r="B436">
            <v>12190440</v>
          </cell>
          <cell r="J436" t="str">
            <v>Продажа</v>
          </cell>
          <cell r="K436">
            <v>1493</v>
          </cell>
          <cell r="N436">
            <v>0</v>
          </cell>
        </row>
        <row r="437">
          <cell r="B437">
            <v>0</v>
          </cell>
          <cell r="J437" t="str">
            <v>Возмещение издержек по перевозке/по складским операциям с товаром</v>
          </cell>
          <cell r="K437">
            <v>0</v>
          </cell>
          <cell r="N437">
            <v>0</v>
          </cell>
        </row>
        <row r="438">
          <cell r="B438">
            <v>0</v>
          </cell>
          <cell r="J438" t="str">
            <v>Возмещение издержек по перевозке/по складским операциям с товаром</v>
          </cell>
          <cell r="K438">
            <v>0</v>
          </cell>
          <cell r="N438">
            <v>0</v>
          </cell>
        </row>
        <row r="439">
          <cell r="B439">
            <v>0</v>
          </cell>
          <cell r="J439" t="str">
            <v>Возмещение издержек по перевозке/по складским операциям с товаром</v>
          </cell>
          <cell r="K439">
            <v>0</v>
          </cell>
          <cell r="N439">
            <v>0</v>
          </cell>
        </row>
        <row r="440">
          <cell r="B440">
            <v>0</v>
          </cell>
          <cell r="J440" t="str">
            <v>Возмещение издержек по перевозке/по складским операциям с товаром</v>
          </cell>
          <cell r="K440">
            <v>0</v>
          </cell>
          <cell r="N440">
            <v>0</v>
          </cell>
        </row>
        <row r="441">
          <cell r="B441">
            <v>0</v>
          </cell>
          <cell r="J441" t="str">
            <v>Возмещение издержек по перевозке/по складским операциям с товаром</v>
          </cell>
          <cell r="K441">
            <v>0</v>
          </cell>
          <cell r="N441">
            <v>0</v>
          </cell>
        </row>
        <row r="442">
          <cell r="B442">
            <v>0</v>
          </cell>
          <cell r="J442" t="str">
            <v>Возмещение издержек по перевозке/по складским операциям с товаром</v>
          </cell>
          <cell r="K442">
            <v>0</v>
          </cell>
          <cell r="N442">
            <v>0</v>
          </cell>
        </row>
        <row r="443">
          <cell r="B443">
            <v>0</v>
          </cell>
          <cell r="J443" t="str">
            <v>Возмещение издержек по перевозке/по складским операциям с товаром</v>
          </cell>
          <cell r="K443">
            <v>0</v>
          </cell>
          <cell r="N443">
            <v>0</v>
          </cell>
        </row>
        <row r="444">
          <cell r="B444">
            <v>0</v>
          </cell>
          <cell r="J444" t="str">
            <v>Возмещение издержек по перевозке/по складским операциям с товаром</v>
          </cell>
          <cell r="K444">
            <v>0</v>
          </cell>
          <cell r="N444">
            <v>0</v>
          </cell>
        </row>
        <row r="445">
          <cell r="B445">
            <v>0</v>
          </cell>
          <cell r="J445" t="str">
            <v>Возмещение издержек по перевозке/по складским операциям с товаром</v>
          </cell>
          <cell r="K445">
            <v>0</v>
          </cell>
          <cell r="N445">
            <v>0</v>
          </cell>
        </row>
        <row r="446">
          <cell r="B446">
            <v>0</v>
          </cell>
          <cell r="J446" t="str">
            <v>Возмещение издержек по перевозке/по складским операциям с товаром</v>
          </cell>
          <cell r="K446">
            <v>0</v>
          </cell>
          <cell r="N446">
            <v>0</v>
          </cell>
        </row>
        <row r="447">
          <cell r="B447">
            <v>0</v>
          </cell>
          <cell r="J447" t="str">
            <v>Возмещение издержек по перевозке/по складским операциям с товаром</v>
          </cell>
          <cell r="K447">
            <v>0</v>
          </cell>
          <cell r="N447">
            <v>0</v>
          </cell>
        </row>
        <row r="448">
          <cell r="B448">
            <v>0</v>
          </cell>
          <cell r="J448" t="str">
            <v>Возмещение издержек по перевозке/по складским операциям с товаром</v>
          </cell>
          <cell r="K448">
            <v>0</v>
          </cell>
          <cell r="N448">
            <v>0</v>
          </cell>
        </row>
        <row r="449">
          <cell r="B449">
            <v>0</v>
          </cell>
          <cell r="J449" t="str">
            <v>Возмещение издержек по перевозке/по складским операциям с товаром</v>
          </cell>
          <cell r="K449">
            <v>0</v>
          </cell>
          <cell r="N449">
            <v>0</v>
          </cell>
        </row>
        <row r="450">
          <cell r="B450">
            <v>0</v>
          </cell>
          <cell r="J450" t="str">
            <v>Возмещение издержек по перевозке/по складским операциям с товаром</v>
          </cell>
          <cell r="K450">
            <v>0</v>
          </cell>
          <cell r="N450">
            <v>0</v>
          </cell>
        </row>
        <row r="451">
          <cell r="B451">
            <v>0</v>
          </cell>
          <cell r="J451" t="str">
            <v>Возмещение издержек по перевозке/по складским операциям с товаром</v>
          </cell>
          <cell r="K451">
            <v>0</v>
          </cell>
          <cell r="N451">
            <v>0</v>
          </cell>
        </row>
        <row r="452">
          <cell r="B452">
            <v>0</v>
          </cell>
          <cell r="J452" t="str">
            <v>Возмещение издержек по перевозке/по складским операциям с товаром</v>
          </cell>
          <cell r="K452">
            <v>0</v>
          </cell>
          <cell r="N452">
            <v>0</v>
          </cell>
        </row>
        <row r="453">
          <cell r="B453">
            <v>0</v>
          </cell>
          <cell r="J453" t="str">
            <v>Возмещение издержек по перевозке/по складским операциям с товаром</v>
          </cell>
          <cell r="K453">
            <v>0</v>
          </cell>
          <cell r="N453">
            <v>0</v>
          </cell>
        </row>
        <row r="454">
          <cell r="B454">
            <v>0</v>
          </cell>
          <cell r="J454" t="str">
            <v>Возмещение издержек по перевозке/по складским операциям с товаром</v>
          </cell>
          <cell r="K454">
            <v>0</v>
          </cell>
          <cell r="N454">
            <v>0</v>
          </cell>
        </row>
        <row r="455">
          <cell r="B455">
            <v>0</v>
          </cell>
          <cell r="J455" t="str">
            <v>Возмещение издержек по перевозке/по складским операциям с товаром</v>
          </cell>
          <cell r="K455">
            <v>0</v>
          </cell>
          <cell r="N455">
            <v>0</v>
          </cell>
        </row>
        <row r="456">
          <cell r="B456">
            <v>0</v>
          </cell>
          <cell r="J456" t="str">
            <v>Возмещение издержек по перевозке/по складским операциям с товаром</v>
          </cell>
          <cell r="K456">
            <v>0</v>
          </cell>
          <cell r="N456">
            <v>0</v>
          </cell>
        </row>
        <row r="457">
          <cell r="B457">
            <v>0</v>
          </cell>
          <cell r="J457" t="str">
            <v>Возмещение издержек по перевозке/по складским операциям с товаром</v>
          </cell>
          <cell r="K457">
            <v>0</v>
          </cell>
          <cell r="N457">
            <v>0</v>
          </cell>
        </row>
        <row r="458">
          <cell r="B458">
            <v>0</v>
          </cell>
          <cell r="J458" t="str">
            <v>Возмещение издержек по перевозке/по складским операциям с товаром</v>
          </cell>
          <cell r="K458">
            <v>0</v>
          </cell>
          <cell r="N458">
            <v>0</v>
          </cell>
        </row>
        <row r="459">
          <cell r="B459">
            <v>0</v>
          </cell>
          <cell r="J459" t="str">
            <v>Возмещение издержек по перевозке/по складским операциям с товаром</v>
          </cell>
          <cell r="K459">
            <v>0</v>
          </cell>
          <cell r="N459">
            <v>0</v>
          </cell>
        </row>
        <row r="460">
          <cell r="B460">
            <v>0</v>
          </cell>
          <cell r="J460" t="str">
            <v>Возмещение издержек по перевозке/по складским операциям с товаром</v>
          </cell>
          <cell r="K460">
            <v>0</v>
          </cell>
          <cell r="N460">
            <v>0</v>
          </cell>
        </row>
        <row r="461">
          <cell r="B461">
            <v>0</v>
          </cell>
          <cell r="J461" t="str">
            <v>Возмещение издержек по перевозке/по складским операциям с товаром</v>
          </cell>
          <cell r="K461">
            <v>0</v>
          </cell>
          <cell r="N461">
            <v>0</v>
          </cell>
        </row>
        <row r="462">
          <cell r="B462">
            <v>0</v>
          </cell>
          <cell r="J462" t="str">
            <v>Возмещение издержек по перевозке/по складским операциям с товаром</v>
          </cell>
          <cell r="K462">
            <v>0</v>
          </cell>
          <cell r="N462">
            <v>0</v>
          </cell>
        </row>
        <row r="463">
          <cell r="B463">
            <v>0</v>
          </cell>
          <cell r="J463" t="str">
            <v>Возмещение издержек по перевозке/по складским операциям с товаром</v>
          </cell>
          <cell r="K463">
            <v>0</v>
          </cell>
          <cell r="N463">
            <v>0</v>
          </cell>
        </row>
        <row r="464">
          <cell r="B464">
            <v>0</v>
          </cell>
          <cell r="J464" t="str">
            <v>Возмещение издержек по перевозке/по складским операциям с товаром</v>
          </cell>
          <cell r="K464">
            <v>0</v>
          </cell>
          <cell r="N464">
            <v>0</v>
          </cell>
        </row>
        <row r="465">
          <cell r="B465">
            <v>0</v>
          </cell>
          <cell r="J465" t="str">
            <v>Возмещение издержек по перевозке/по складским операциям с товаром</v>
          </cell>
          <cell r="K465">
            <v>0</v>
          </cell>
          <cell r="N465">
            <v>0</v>
          </cell>
        </row>
        <row r="466">
          <cell r="B466">
            <v>0</v>
          </cell>
          <cell r="J466" t="str">
            <v>Возмещение издержек по перевозке/по складским операциям с товаром</v>
          </cell>
          <cell r="K466">
            <v>0</v>
          </cell>
          <cell r="N466">
            <v>0</v>
          </cell>
        </row>
        <row r="467">
          <cell r="B467">
            <v>0</v>
          </cell>
          <cell r="J467" t="str">
            <v>Возмещение издержек по перевозке/по складским операциям с товаром</v>
          </cell>
          <cell r="K467">
            <v>0</v>
          </cell>
          <cell r="N467">
            <v>0</v>
          </cell>
        </row>
        <row r="468">
          <cell r="B468">
            <v>0</v>
          </cell>
          <cell r="J468" t="str">
            <v>Возмещение издержек по перевозке/по складским операциям с товаром</v>
          </cell>
          <cell r="K468">
            <v>0</v>
          </cell>
          <cell r="N468">
            <v>0</v>
          </cell>
        </row>
        <row r="469">
          <cell r="B469">
            <v>0</v>
          </cell>
          <cell r="J469" t="str">
            <v>Возмещение издержек по перевозке/по складским операциям с товаром</v>
          </cell>
          <cell r="K469">
            <v>0</v>
          </cell>
          <cell r="N469">
            <v>0</v>
          </cell>
        </row>
        <row r="470">
          <cell r="B470">
            <v>0</v>
          </cell>
          <cell r="J470" t="str">
            <v>Возмещение издержек по перевозке/по складским операциям с товаром</v>
          </cell>
          <cell r="K470">
            <v>0</v>
          </cell>
          <cell r="N470">
            <v>0</v>
          </cell>
        </row>
        <row r="471">
          <cell r="B471">
            <v>0</v>
          </cell>
          <cell r="J471" t="str">
            <v>Возмещение издержек по перевозке/по складским операциям с товаром</v>
          </cell>
          <cell r="K471">
            <v>0</v>
          </cell>
          <cell r="N471">
            <v>0</v>
          </cell>
        </row>
        <row r="472">
          <cell r="B472">
            <v>0</v>
          </cell>
          <cell r="J472" t="str">
            <v>Возмещение издержек по перевозке/по складским операциям с товаром</v>
          </cell>
          <cell r="K472">
            <v>0</v>
          </cell>
          <cell r="N472">
            <v>0</v>
          </cell>
        </row>
        <row r="473">
          <cell r="B473">
            <v>0</v>
          </cell>
          <cell r="J473" t="str">
            <v>Возмещение издержек по перевозке/по складским операциям с товаром</v>
          </cell>
          <cell r="K473">
            <v>0</v>
          </cell>
          <cell r="N473">
            <v>0</v>
          </cell>
        </row>
        <row r="474">
          <cell r="B474">
            <v>0</v>
          </cell>
          <cell r="J474" t="str">
            <v>Возмещение издержек по перевозке/по складским операциям с товаром</v>
          </cell>
          <cell r="K474">
            <v>0</v>
          </cell>
          <cell r="N474">
            <v>0</v>
          </cell>
        </row>
        <row r="475">
          <cell r="B475">
            <v>0</v>
          </cell>
          <cell r="J475" t="str">
            <v>Возмещение издержек по перевозке/по складским операциям с товаром</v>
          </cell>
          <cell r="K475">
            <v>0</v>
          </cell>
          <cell r="N475">
            <v>0</v>
          </cell>
        </row>
        <row r="476">
          <cell r="B476">
            <v>0</v>
          </cell>
          <cell r="J476" t="str">
            <v>Возмещение издержек по перевозке/по складским операциям с товаром</v>
          </cell>
          <cell r="K476">
            <v>0</v>
          </cell>
          <cell r="N476">
            <v>0</v>
          </cell>
        </row>
        <row r="477">
          <cell r="B477">
            <v>0</v>
          </cell>
          <cell r="J477" t="str">
            <v>Возмещение издержек по перевозке/по складским операциям с товаром</v>
          </cell>
          <cell r="K477">
            <v>0</v>
          </cell>
          <cell r="N477">
            <v>0</v>
          </cell>
        </row>
        <row r="478">
          <cell r="B478">
            <v>0</v>
          </cell>
          <cell r="J478" t="str">
            <v>Возмещение издержек по перевозке/по складским операциям с товаром</v>
          </cell>
          <cell r="K478">
            <v>0</v>
          </cell>
          <cell r="N478">
            <v>0</v>
          </cell>
        </row>
        <row r="479">
          <cell r="B479">
            <v>0</v>
          </cell>
          <cell r="J479" t="str">
            <v>Возмещение издержек по перевозке/по складским операциям с товаром</v>
          </cell>
          <cell r="K479">
            <v>0</v>
          </cell>
          <cell r="N479">
            <v>0</v>
          </cell>
        </row>
        <row r="480">
          <cell r="B480">
            <v>0</v>
          </cell>
          <cell r="J480" t="str">
            <v>Возмещение издержек по перевозке/по складским операциям с товаром</v>
          </cell>
          <cell r="K480">
            <v>0</v>
          </cell>
          <cell r="N480">
            <v>0</v>
          </cell>
        </row>
        <row r="481">
          <cell r="B481">
            <v>0</v>
          </cell>
          <cell r="J481" t="str">
            <v>Возмещение издержек по перевозке/по складским операциям с товаром</v>
          </cell>
          <cell r="K481">
            <v>0</v>
          </cell>
          <cell r="N481">
            <v>0</v>
          </cell>
        </row>
        <row r="482">
          <cell r="B482">
            <v>0</v>
          </cell>
          <cell r="J482" t="str">
            <v>Возмещение издержек по перевозке/по складским операциям с товаром</v>
          </cell>
          <cell r="K482">
            <v>0</v>
          </cell>
          <cell r="N482">
            <v>0</v>
          </cell>
        </row>
        <row r="483">
          <cell r="B483">
            <v>0</v>
          </cell>
          <cell r="J483" t="str">
            <v>Возмещение издержек по перевозке/по складским операциям с товаром</v>
          </cell>
          <cell r="K483">
            <v>0</v>
          </cell>
          <cell r="N483">
            <v>0</v>
          </cell>
        </row>
        <row r="484">
          <cell r="B484">
            <v>0</v>
          </cell>
          <cell r="J484" t="str">
            <v>Возмещение издержек по перевозке/по складским операциям с товаром</v>
          </cell>
          <cell r="K484">
            <v>0</v>
          </cell>
          <cell r="N484">
            <v>0</v>
          </cell>
        </row>
        <row r="485">
          <cell r="B485">
            <v>0</v>
          </cell>
          <cell r="J485" t="str">
            <v>Возмещение издержек по перевозке/по складским операциям с товаром</v>
          </cell>
          <cell r="K485">
            <v>0</v>
          </cell>
          <cell r="N485">
            <v>0</v>
          </cell>
        </row>
        <row r="486">
          <cell r="B486">
            <v>0</v>
          </cell>
          <cell r="J486" t="str">
            <v>Возмещение издержек по перевозке/по складским операциям с товаром</v>
          </cell>
          <cell r="K486">
            <v>0</v>
          </cell>
          <cell r="N486">
            <v>0</v>
          </cell>
        </row>
        <row r="487">
          <cell r="B487">
            <v>0</v>
          </cell>
          <cell r="J487" t="str">
            <v>Возмещение издержек по перевозке/по складским операциям с товаром</v>
          </cell>
          <cell r="K487">
            <v>0</v>
          </cell>
          <cell r="N487">
            <v>0</v>
          </cell>
        </row>
        <row r="488">
          <cell r="B488">
            <v>0</v>
          </cell>
          <cell r="J488" t="str">
            <v>Возмещение издержек по перевозке/по складским операциям с товаром</v>
          </cell>
          <cell r="K488">
            <v>0</v>
          </cell>
          <cell r="N488">
            <v>0</v>
          </cell>
        </row>
        <row r="489">
          <cell r="B489">
            <v>0</v>
          </cell>
          <cell r="J489" t="str">
            <v>Возмещение издержек по перевозке/по складским операциям с товаром</v>
          </cell>
          <cell r="K489">
            <v>0</v>
          </cell>
          <cell r="N489">
            <v>0</v>
          </cell>
        </row>
        <row r="490">
          <cell r="B490">
            <v>0</v>
          </cell>
          <cell r="J490" t="str">
            <v>Возмещение издержек по перевозке/по складским операциям с товаром</v>
          </cell>
          <cell r="K490">
            <v>0</v>
          </cell>
          <cell r="N490">
            <v>0</v>
          </cell>
        </row>
        <row r="491">
          <cell r="B491">
            <v>0</v>
          </cell>
          <cell r="J491" t="str">
            <v>Возмещение издержек по перевозке/по складским операциям с товаром</v>
          </cell>
          <cell r="K491">
            <v>0</v>
          </cell>
          <cell r="N491">
            <v>0</v>
          </cell>
        </row>
        <row r="492">
          <cell r="B492">
            <v>0</v>
          </cell>
          <cell r="J492" t="str">
            <v>Возмещение издержек по перевозке/по складским операциям с товаром</v>
          </cell>
          <cell r="K492">
            <v>0</v>
          </cell>
          <cell r="N492">
            <v>0</v>
          </cell>
        </row>
        <row r="493">
          <cell r="B493">
            <v>0</v>
          </cell>
          <cell r="J493" t="str">
            <v>Возмещение издержек по перевозке/по складским операциям с товаром</v>
          </cell>
          <cell r="K493">
            <v>0</v>
          </cell>
          <cell r="N493">
            <v>0</v>
          </cell>
        </row>
        <row r="494">
          <cell r="B494">
            <v>0</v>
          </cell>
          <cell r="J494" t="str">
            <v>Возмещение издержек по перевозке/по складским операциям с товаром</v>
          </cell>
          <cell r="K494">
            <v>0</v>
          </cell>
          <cell r="N494">
            <v>0</v>
          </cell>
        </row>
        <row r="495">
          <cell r="B495">
            <v>0</v>
          </cell>
          <cell r="J495" t="str">
            <v>Возмещение издержек по перевозке/по складским операциям с товаром</v>
          </cell>
          <cell r="K495">
            <v>0</v>
          </cell>
          <cell r="N495">
            <v>0</v>
          </cell>
        </row>
        <row r="496">
          <cell r="B496">
            <v>0</v>
          </cell>
          <cell r="J496" t="str">
            <v>Возмещение издержек по перевозке/по складским операциям с товаром</v>
          </cell>
          <cell r="K496">
            <v>0</v>
          </cell>
          <cell r="N496">
            <v>0</v>
          </cell>
        </row>
        <row r="497">
          <cell r="B497">
            <v>0</v>
          </cell>
          <cell r="J497" t="str">
            <v>Возмещение издержек по перевозке/по складским операциям с товаром</v>
          </cell>
          <cell r="K497">
            <v>0</v>
          </cell>
          <cell r="N497">
            <v>0</v>
          </cell>
        </row>
        <row r="498">
          <cell r="B498">
            <v>0</v>
          </cell>
          <cell r="J498" t="str">
            <v>Возмещение издержек по перевозке/по складским операциям с товаром</v>
          </cell>
          <cell r="K498">
            <v>0</v>
          </cell>
          <cell r="N498">
            <v>0</v>
          </cell>
        </row>
        <row r="499">
          <cell r="B499">
            <v>0</v>
          </cell>
          <cell r="J499" t="str">
            <v>Возмещение издержек по перевозке/по складским операциям с товаром</v>
          </cell>
          <cell r="K499">
            <v>0</v>
          </cell>
          <cell r="N499">
            <v>0</v>
          </cell>
        </row>
        <row r="500">
          <cell r="B500">
            <v>0</v>
          </cell>
          <cell r="J500" t="str">
            <v>Возмещение издержек по перевозке/по складским операциям с товаром</v>
          </cell>
          <cell r="K500">
            <v>0</v>
          </cell>
          <cell r="N500">
            <v>0</v>
          </cell>
        </row>
        <row r="501">
          <cell r="B501">
            <v>0</v>
          </cell>
          <cell r="J501" t="str">
            <v>Возмещение издержек по перевозке/по складским операциям с товаром</v>
          </cell>
          <cell r="K501">
            <v>0</v>
          </cell>
          <cell r="N501">
            <v>0</v>
          </cell>
        </row>
        <row r="502">
          <cell r="B502">
            <v>0</v>
          </cell>
          <cell r="J502" t="str">
            <v>Возмещение издержек по перевозке/по складским операциям с товаром</v>
          </cell>
          <cell r="K502">
            <v>0</v>
          </cell>
          <cell r="N502">
            <v>0</v>
          </cell>
        </row>
        <row r="503">
          <cell r="B503">
            <v>0</v>
          </cell>
          <cell r="J503" t="str">
            <v>Возмещение издержек по перевозке/по складским операциям с товаром</v>
          </cell>
          <cell r="K503">
            <v>0</v>
          </cell>
          <cell r="N503">
            <v>0</v>
          </cell>
        </row>
        <row r="504">
          <cell r="B504">
            <v>0</v>
          </cell>
          <cell r="J504" t="str">
            <v>Возмещение издержек по перевозке/по складским операциям с товаром</v>
          </cell>
          <cell r="K504">
            <v>0</v>
          </cell>
          <cell r="N504">
            <v>0</v>
          </cell>
        </row>
        <row r="505">
          <cell r="B505">
            <v>0</v>
          </cell>
          <cell r="J505" t="str">
            <v>Возмещение издержек по перевозке/по складским операциям с товаром</v>
          </cell>
          <cell r="K505">
            <v>0</v>
          </cell>
          <cell r="N505">
            <v>0</v>
          </cell>
        </row>
        <row r="506">
          <cell r="B506">
            <v>0</v>
          </cell>
          <cell r="J506" t="str">
            <v>Возмещение издержек по перевозке/по складским операциям с товаром</v>
          </cell>
          <cell r="K506">
            <v>0</v>
          </cell>
          <cell r="N506">
            <v>0</v>
          </cell>
        </row>
        <row r="507">
          <cell r="B507">
            <v>0</v>
          </cell>
          <cell r="J507" t="str">
            <v>Возмещение издержек по перевозке/по складским операциям с товаром</v>
          </cell>
          <cell r="K507">
            <v>0</v>
          </cell>
          <cell r="N507">
            <v>0</v>
          </cell>
        </row>
        <row r="508">
          <cell r="B508">
            <v>0</v>
          </cell>
          <cell r="J508" t="str">
            <v>Возмещение издержек по перевозке/по складским операциям с товаром</v>
          </cell>
          <cell r="K508">
            <v>0</v>
          </cell>
          <cell r="N508">
            <v>0</v>
          </cell>
        </row>
        <row r="509">
          <cell r="B509">
            <v>0</v>
          </cell>
          <cell r="J509" t="str">
            <v>Возмещение издержек по перевозке/по складским операциям с товаром</v>
          </cell>
          <cell r="K509">
            <v>0</v>
          </cell>
          <cell r="N509">
            <v>0</v>
          </cell>
        </row>
        <row r="510">
          <cell r="B510">
            <v>0</v>
          </cell>
          <cell r="J510" t="str">
            <v>Возмещение издержек по перевозке/по складским операциям с товаром</v>
          </cell>
          <cell r="K510">
            <v>0</v>
          </cell>
          <cell r="N510">
            <v>0</v>
          </cell>
        </row>
        <row r="511">
          <cell r="B511">
            <v>0</v>
          </cell>
          <cell r="J511" t="str">
            <v>Возмещение издержек по перевозке/по складским операциям с товаром</v>
          </cell>
          <cell r="K511">
            <v>0</v>
          </cell>
          <cell r="N511">
            <v>0</v>
          </cell>
        </row>
        <row r="512">
          <cell r="B512">
            <v>0</v>
          </cell>
          <cell r="J512" t="str">
            <v>Возмещение издержек по перевозке/по складским операциям с товаром</v>
          </cell>
          <cell r="K512">
            <v>0</v>
          </cell>
          <cell r="N512">
            <v>0</v>
          </cell>
        </row>
        <row r="513">
          <cell r="B513">
            <v>0</v>
          </cell>
          <cell r="J513" t="str">
            <v>Возмещение издержек по перевозке/по складским операциям с товаром</v>
          </cell>
          <cell r="K513">
            <v>0</v>
          </cell>
          <cell r="N513">
            <v>0</v>
          </cell>
        </row>
        <row r="514">
          <cell r="B514">
            <v>0</v>
          </cell>
          <cell r="J514" t="str">
            <v>Возмещение издержек по перевозке/по складским операциям с товаром</v>
          </cell>
          <cell r="K514">
            <v>0</v>
          </cell>
          <cell r="N514">
            <v>0</v>
          </cell>
        </row>
        <row r="515">
          <cell r="B515">
            <v>0</v>
          </cell>
          <cell r="J515" t="str">
            <v>Возмещение издержек по перевозке/по складским операциям с товаром</v>
          </cell>
          <cell r="K515">
            <v>0</v>
          </cell>
          <cell r="N515">
            <v>0</v>
          </cell>
        </row>
        <row r="516">
          <cell r="B516">
            <v>0</v>
          </cell>
          <cell r="J516" t="str">
            <v>Возмещение издержек по перевозке/по складским операциям с товаром</v>
          </cell>
          <cell r="K516">
            <v>0</v>
          </cell>
          <cell r="N516">
            <v>0</v>
          </cell>
        </row>
        <row r="517">
          <cell r="B517">
            <v>0</v>
          </cell>
          <cell r="J517" t="str">
            <v>Возмещение издержек по перевозке/по складским операциям с товаром</v>
          </cell>
          <cell r="K517">
            <v>0</v>
          </cell>
          <cell r="N517">
            <v>0</v>
          </cell>
        </row>
        <row r="518">
          <cell r="B518">
            <v>0</v>
          </cell>
          <cell r="J518" t="str">
            <v>Возмещение издержек по перевозке/по складским операциям с товаром</v>
          </cell>
          <cell r="K518">
            <v>0</v>
          </cell>
          <cell r="N518">
            <v>0</v>
          </cell>
        </row>
        <row r="519">
          <cell r="B519">
            <v>0</v>
          </cell>
          <cell r="J519" t="str">
            <v>Возмещение издержек по перевозке/по складским операциям с товаром</v>
          </cell>
          <cell r="K519">
            <v>0</v>
          </cell>
          <cell r="N519">
            <v>0</v>
          </cell>
        </row>
        <row r="520">
          <cell r="B520">
            <v>0</v>
          </cell>
          <cell r="J520" t="str">
            <v>Возмещение издержек по перевозке/по складским операциям с товаром</v>
          </cell>
          <cell r="K520">
            <v>0</v>
          </cell>
          <cell r="N520">
            <v>0</v>
          </cell>
        </row>
        <row r="521">
          <cell r="B521">
            <v>0</v>
          </cell>
          <cell r="J521" t="str">
            <v>Возмещение издержек по перевозке/по складским операциям с товаром</v>
          </cell>
          <cell r="K521">
            <v>0</v>
          </cell>
          <cell r="N521">
            <v>0</v>
          </cell>
        </row>
        <row r="522">
          <cell r="B522">
            <v>0</v>
          </cell>
          <cell r="J522" t="str">
            <v>Возмещение издержек по перевозке/по складским операциям с товаром</v>
          </cell>
          <cell r="K522">
            <v>0</v>
          </cell>
          <cell r="N522">
            <v>0</v>
          </cell>
        </row>
        <row r="523">
          <cell r="B523">
            <v>0</v>
          </cell>
          <cell r="J523" t="str">
            <v>Возмещение издержек по перевозке/по складским операциям с товаром</v>
          </cell>
          <cell r="K523">
            <v>0</v>
          </cell>
          <cell r="N523">
            <v>0</v>
          </cell>
        </row>
        <row r="524">
          <cell r="B524">
            <v>0</v>
          </cell>
          <cell r="J524" t="str">
            <v>Возмещение издержек по перевозке/по складским операциям с товаром</v>
          </cell>
          <cell r="K524">
            <v>0</v>
          </cell>
          <cell r="N524">
            <v>0</v>
          </cell>
        </row>
        <row r="525">
          <cell r="B525">
            <v>0</v>
          </cell>
          <cell r="J525" t="str">
            <v>Возмещение издержек по перевозке/по складским операциям с товаром</v>
          </cell>
          <cell r="K525">
            <v>0</v>
          </cell>
          <cell r="N525">
            <v>0</v>
          </cell>
        </row>
        <row r="526">
          <cell r="B526">
            <v>0</v>
          </cell>
          <cell r="J526" t="str">
            <v>Возмещение издержек по перевозке/по складским операциям с товаром</v>
          </cell>
          <cell r="K526">
            <v>0</v>
          </cell>
          <cell r="N526">
            <v>0</v>
          </cell>
        </row>
        <row r="527">
          <cell r="B527">
            <v>0</v>
          </cell>
          <cell r="J527" t="str">
            <v>Возмещение издержек по перевозке/по складским операциям с товаром</v>
          </cell>
          <cell r="K527">
            <v>0</v>
          </cell>
          <cell r="N527">
            <v>0</v>
          </cell>
        </row>
        <row r="528">
          <cell r="B528">
            <v>0</v>
          </cell>
          <cell r="J528" t="str">
            <v>Возмещение издержек по перевозке/по складским операциям с товаром</v>
          </cell>
          <cell r="K528">
            <v>0</v>
          </cell>
          <cell r="N528">
            <v>0</v>
          </cell>
        </row>
        <row r="529">
          <cell r="B529">
            <v>0</v>
          </cell>
          <cell r="J529" t="str">
            <v>Возмещение издержек по перевозке/по складским операциям с товаром</v>
          </cell>
          <cell r="K529">
            <v>0</v>
          </cell>
          <cell r="N529">
            <v>0</v>
          </cell>
        </row>
        <row r="530">
          <cell r="B530">
            <v>0</v>
          </cell>
          <cell r="J530" t="str">
            <v>Возмещение издержек по перевозке/по складским операциям с товаром</v>
          </cell>
          <cell r="K530">
            <v>0</v>
          </cell>
          <cell r="N530">
            <v>0</v>
          </cell>
        </row>
        <row r="531">
          <cell r="B531">
            <v>0</v>
          </cell>
          <cell r="J531" t="str">
            <v>Возмещение издержек по перевозке/по складским операциям с товаром</v>
          </cell>
          <cell r="K531">
            <v>0</v>
          </cell>
          <cell r="N531">
            <v>0</v>
          </cell>
        </row>
        <row r="532">
          <cell r="B532">
            <v>0</v>
          </cell>
          <cell r="J532" t="str">
            <v>Возмещение издержек по перевозке/по складским операциям с товаром</v>
          </cell>
          <cell r="K532">
            <v>0</v>
          </cell>
          <cell r="N532">
            <v>0</v>
          </cell>
        </row>
        <row r="533">
          <cell r="B533">
            <v>0</v>
          </cell>
          <cell r="J533" t="str">
            <v>Возмещение издержек по перевозке/по складским операциям с товаром</v>
          </cell>
          <cell r="K533">
            <v>0</v>
          </cell>
          <cell r="N533">
            <v>0</v>
          </cell>
        </row>
        <row r="534">
          <cell r="B534">
            <v>0</v>
          </cell>
          <cell r="J534" t="str">
            <v>Возмещение издержек по перевозке/по складским операциям с товаром</v>
          </cell>
          <cell r="K534">
            <v>0</v>
          </cell>
          <cell r="N534">
            <v>0</v>
          </cell>
        </row>
        <row r="535">
          <cell r="B535">
            <v>0</v>
          </cell>
          <cell r="J535" t="str">
            <v>Возмещение издержек по перевозке/по складским операциям с товаром</v>
          </cell>
          <cell r="K535">
            <v>0</v>
          </cell>
          <cell r="N535">
            <v>0</v>
          </cell>
        </row>
        <row r="536">
          <cell r="B536">
            <v>0</v>
          </cell>
          <cell r="J536" t="str">
            <v>Возмещение издержек по перевозке/по складским операциям с товаром</v>
          </cell>
          <cell r="K536">
            <v>0</v>
          </cell>
          <cell r="N536">
            <v>0</v>
          </cell>
        </row>
        <row r="537">
          <cell r="B537">
            <v>0</v>
          </cell>
          <cell r="J537" t="str">
            <v>Возмещение издержек по перевозке/по складским операциям с товаром</v>
          </cell>
          <cell r="K537">
            <v>0</v>
          </cell>
          <cell r="N537">
            <v>0</v>
          </cell>
        </row>
        <row r="538">
          <cell r="B538">
            <v>0</v>
          </cell>
          <cell r="J538" t="str">
            <v>Возмещение издержек по перевозке/по складским операциям с товаром</v>
          </cell>
          <cell r="K538">
            <v>0</v>
          </cell>
          <cell r="N538">
            <v>0</v>
          </cell>
        </row>
        <row r="539">
          <cell r="B539">
            <v>0</v>
          </cell>
          <cell r="J539" t="str">
            <v>Возмещение издержек по перевозке/по складским операциям с товаром</v>
          </cell>
          <cell r="K539">
            <v>0</v>
          </cell>
          <cell r="N539">
            <v>0</v>
          </cell>
        </row>
        <row r="540">
          <cell r="B540">
            <v>0</v>
          </cell>
          <cell r="J540" t="str">
            <v>Возмещение издержек по перевозке/по складским операциям с товаром</v>
          </cell>
          <cell r="K540">
            <v>0</v>
          </cell>
          <cell r="N540">
            <v>0</v>
          </cell>
        </row>
        <row r="541">
          <cell r="B541">
            <v>0</v>
          </cell>
          <cell r="J541" t="str">
            <v>Возмещение издержек по перевозке/по складским операциям с товаром</v>
          </cell>
          <cell r="K541">
            <v>0</v>
          </cell>
          <cell r="N541">
            <v>0</v>
          </cell>
        </row>
        <row r="542">
          <cell r="B542">
            <v>0</v>
          </cell>
          <cell r="J542" t="str">
            <v>Возмещение издержек по перевозке/по складским операциям с товаром</v>
          </cell>
          <cell r="K542">
            <v>0</v>
          </cell>
          <cell r="N542">
            <v>0</v>
          </cell>
        </row>
        <row r="543">
          <cell r="B543">
            <v>0</v>
          </cell>
          <cell r="J543" t="str">
            <v>Возмещение издержек по перевозке/по складским операциям с товаром</v>
          </cell>
          <cell r="K543">
            <v>0</v>
          </cell>
          <cell r="N543">
            <v>0</v>
          </cell>
        </row>
        <row r="544">
          <cell r="B544">
            <v>0</v>
          </cell>
          <cell r="J544" t="str">
            <v>Возмещение издержек по перевозке/по складским операциям с товаром</v>
          </cell>
          <cell r="K544">
            <v>0</v>
          </cell>
          <cell r="N544">
            <v>0</v>
          </cell>
        </row>
        <row r="545">
          <cell r="B545">
            <v>0</v>
          </cell>
          <cell r="J545" t="str">
            <v>Возмещение издержек по перевозке/по складским операциям с товаром</v>
          </cell>
          <cell r="K545">
            <v>0</v>
          </cell>
          <cell r="N545">
            <v>0</v>
          </cell>
        </row>
        <row r="546">
          <cell r="B546">
            <v>0</v>
          </cell>
          <cell r="J546" t="str">
            <v>Возмещение издержек по перевозке/по складским операциям с товаром</v>
          </cell>
          <cell r="K546">
            <v>0</v>
          </cell>
          <cell r="N546">
            <v>0</v>
          </cell>
        </row>
        <row r="547">
          <cell r="B547">
            <v>0</v>
          </cell>
          <cell r="J547" t="str">
            <v>Возмещение издержек по перевозке/по складским операциям с товаром</v>
          </cell>
          <cell r="K547">
            <v>0</v>
          </cell>
          <cell r="N547">
            <v>0</v>
          </cell>
        </row>
        <row r="548">
          <cell r="B548">
            <v>0</v>
          </cell>
          <cell r="J548" t="str">
            <v>Возмещение издержек по перевозке/по складским операциям с товаром</v>
          </cell>
          <cell r="K548">
            <v>0</v>
          </cell>
          <cell r="N548">
            <v>0</v>
          </cell>
        </row>
        <row r="549">
          <cell r="B549">
            <v>0</v>
          </cell>
          <cell r="J549" t="str">
            <v>Возмещение издержек по перевозке/по складским операциям с товаром</v>
          </cell>
          <cell r="K549">
            <v>0</v>
          </cell>
          <cell r="N549">
            <v>0</v>
          </cell>
        </row>
        <row r="550">
          <cell r="B550">
            <v>0</v>
          </cell>
          <cell r="J550" t="str">
            <v>Возмещение издержек по перевозке/по складским операциям с товаром</v>
          </cell>
          <cell r="K550">
            <v>0</v>
          </cell>
          <cell r="N550">
            <v>0</v>
          </cell>
        </row>
        <row r="551">
          <cell r="B551">
            <v>0</v>
          </cell>
          <cell r="J551" t="str">
            <v>Возмещение издержек по перевозке/по складским операциям с товаром</v>
          </cell>
          <cell r="K551">
            <v>0</v>
          </cell>
          <cell r="N551">
            <v>0</v>
          </cell>
        </row>
        <row r="552">
          <cell r="B552">
            <v>0</v>
          </cell>
          <cell r="J552" t="str">
            <v>Возмещение издержек по перевозке/по складским операциям с товаром</v>
          </cell>
          <cell r="K552">
            <v>0</v>
          </cell>
          <cell r="N552">
            <v>0</v>
          </cell>
        </row>
        <row r="553">
          <cell r="B553">
            <v>0</v>
          </cell>
          <cell r="J553" t="str">
            <v>Возмещение издержек по перевозке/по складским операциям с товаром</v>
          </cell>
          <cell r="K553">
            <v>0</v>
          </cell>
          <cell r="N553">
            <v>0</v>
          </cell>
        </row>
        <row r="554">
          <cell r="B554">
            <v>0</v>
          </cell>
          <cell r="J554" t="str">
            <v>Возмещение издержек по перевозке/по складским операциям с товаром</v>
          </cell>
          <cell r="K554">
            <v>0</v>
          </cell>
          <cell r="N554">
            <v>0</v>
          </cell>
        </row>
        <row r="555">
          <cell r="B555">
            <v>0</v>
          </cell>
          <cell r="J555" t="str">
            <v>Возмещение издержек по перевозке/по складским операциям с товаром</v>
          </cell>
          <cell r="K555">
            <v>0</v>
          </cell>
          <cell r="N555">
            <v>0</v>
          </cell>
        </row>
        <row r="556">
          <cell r="B556">
            <v>0</v>
          </cell>
          <cell r="J556" t="str">
            <v>Возмещение издержек по перевозке/по складским операциям с товаром</v>
          </cell>
          <cell r="K556">
            <v>0</v>
          </cell>
          <cell r="N556">
            <v>0</v>
          </cell>
        </row>
        <row r="557">
          <cell r="B557">
            <v>0</v>
          </cell>
          <cell r="J557" t="str">
            <v>Возмещение издержек по перевозке/по складским операциям с товаром</v>
          </cell>
          <cell r="K557">
            <v>0</v>
          </cell>
          <cell r="N557">
            <v>0</v>
          </cell>
        </row>
        <row r="558">
          <cell r="B558">
            <v>0</v>
          </cell>
          <cell r="J558" t="str">
            <v>Возмещение издержек по перевозке/по складским операциям с товаром</v>
          </cell>
          <cell r="K558">
            <v>0</v>
          </cell>
          <cell r="N558">
            <v>0</v>
          </cell>
        </row>
        <row r="559">
          <cell r="B559">
            <v>0</v>
          </cell>
          <cell r="J559" t="str">
            <v>Возмещение издержек по перевозке/по складским операциям с товаром</v>
          </cell>
          <cell r="K559">
            <v>0</v>
          </cell>
          <cell r="N559">
            <v>0</v>
          </cell>
        </row>
        <row r="560">
          <cell r="B560">
            <v>0</v>
          </cell>
          <cell r="J560" t="str">
            <v>Возмещение издержек по перевозке/по складским операциям с товаром</v>
          </cell>
          <cell r="K560">
            <v>0</v>
          </cell>
          <cell r="N560">
            <v>0</v>
          </cell>
        </row>
        <row r="561">
          <cell r="B561">
            <v>0</v>
          </cell>
          <cell r="J561" t="str">
            <v>Возмещение издержек по перевозке/по складским операциям с товаром</v>
          </cell>
          <cell r="K561">
            <v>0</v>
          </cell>
          <cell r="N561">
            <v>0</v>
          </cell>
        </row>
        <row r="562">
          <cell r="B562">
            <v>0</v>
          </cell>
          <cell r="J562" t="str">
            <v>Возмещение издержек по перевозке/по складским операциям с товаром</v>
          </cell>
          <cell r="K562">
            <v>0</v>
          </cell>
          <cell r="N562">
            <v>0</v>
          </cell>
        </row>
        <row r="563">
          <cell r="B563">
            <v>0</v>
          </cell>
          <cell r="J563" t="str">
            <v>Возмещение издержек по перевозке/по складским операциям с товаром</v>
          </cell>
          <cell r="K563">
            <v>0</v>
          </cell>
          <cell r="N563">
            <v>0</v>
          </cell>
        </row>
        <row r="564">
          <cell r="B564">
            <v>0</v>
          </cell>
          <cell r="J564" t="str">
            <v>Возмещение издержек по перевозке/по складским операциям с товаром</v>
          </cell>
          <cell r="K564">
            <v>0</v>
          </cell>
          <cell r="N564">
            <v>0</v>
          </cell>
        </row>
        <row r="565">
          <cell r="B565">
            <v>0</v>
          </cell>
          <cell r="J565" t="str">
            <v>Возмещение издержек по перевозке/по складским операциям с товаром</v>
          </cell>
          <cell r="K565">
            <v>0</v>
          </cell>
          <cell r="N565">
            <v>0</v>
          </cell>
        </row>
        <row r="566">
          <cell r="B566">
            <v>0</v>
          </cell>
          <cell r="J566" t="str">
            <v>Возмещение издержек по перевозке/по складским операциям с товаром</v>
          </cell>
          <cell r="K566">
            <v>0</v>
          </cell>
          <cell r="N566">
            <v>0</v>
          </cell>
        </row>
        <row r="567">
          <cell r="B567">
            <v>0</v>
          </cell>
          <cell r="J567" t="str">
            <v>Возмещение издержек по перевозке/по складским операциям с товаром</v>
          </cell>
          <cell r="K567">
            <v>0</v>
          </cell>
          <cell r="N567">
            <v>0</v>
          </cell>
        </row>
        <row r="568">
          <cell r="B568">
            <v>0</v>
          </cell>
          <cell r="J568" t="str">
            <v>Возмещение издержек по перевозке/по складским операциям с товаром</v>
          </cell>
          <cell r="K568">
            <v>0</v>
          </cell>
          <cell r="N568">
            <v>0</v>
          </cell>
        </row>
        <row r="569">
          <cell r="B569">
            <v>0</v>
          </cell>
          <cell r="J569" t="str">
            <v>Возмещение издержек по перевозке/по складским операциям с товаром</v>
          </cell>
          <cell r="K569">
            <v>0</v>
          </cell>
          <cell r="N569">
            <v>0</v>
          </cell>
        </row>
        <row r="570">
          <cell r="B570">
            <v>0</v>
          </cell>
          <cell r="J570" t="str">
            <v>Возмещение издержек по перевозке/по складским операциям с товаром</v>
          </cell>
          <cell r="K570">
            <v>0</v>
          </cell>
          <cell r="N570">
            <v>0</v>
          </cell>
        </row>
        <row r="571">
          <cell r="B571">
            <v>0</v>
          </cell>
          <cell r="J571" t="str">
            <v>Возмещение издержек по перевозке/по складским операциям с товаром</v>
          </cell>
          <cell r="K571">
            <v>0</v>
          </cell>
          <cell r="N571">
            <v>0</v>
          </cell>
        </row>
        <row r="572">
          <cell r="B572">
            <v>0</v>
          </cell>
          <cell r="J572" t="str">
            <v>Возмещение издержек по перевозке/по складским операциям с товаром</v>
          </cell>
          <cell r="K572">
            <v>0</v>
          </cell>
          <cell r="N572">
            <v>0</v>
          </cell>
        </row>
        <row r="573">
          <cell r="B573">
            <v>0</v>
          </cell>
          <cell r="J573" t="str">
            <v>Возмещение издержек по перевозке/по складским операциям с товаром</v>
          </cell>
          <cell r="K573">
            <v>0</v>
          </cell>
          <cell r="N573">
            <v>0</v>
          </cell>
        </row>
        <row r="574">
          <cell r="B574">
            <v>0</v>
          </cell>
          <cell r="J574" t="str">
            <v>Возмещение издержек по перевозке/по складским операциям с товаром</v>
          </cell>
          <cell r="K574">
            <v>0</v>
          </cell>
          <cell r="N574">
            <v>0</v>
          </cell>
        </row>
        <row r="575">
          <cell r="B575">
            <v>0</v>
          </cell>
          <cell r="J575" t="str">
            <v>Возмещение издержек по перевозке/по складским операциям с товаром</v>
          </cell>
          <cell r="K575">
            <v>0</v>
          </cell>
          <cell r="N575">
            <v>0</v>
          </cell>
        </row>
        <row r="576">
          <cell r="B576">
            <v>0</v>
          </cell>
          <cell r="J576" t="str">
            <v>Возмещение издержек по перевозке/по складским операциям с товаром</v>
          </cell>
          <cell r="K576">
            <v>0</v>
          </cell>
          <cell r="N576">
            <v>0</v>
          </cell>
        </row>
        <row r="577">
          <cell r="B577">
            <v>0</v>
          </cell>
          <cell r="J577" t="str">
            <v>Возмещение издержек по перевозке/по складским операциям с товаром</v>
          </cell>
          <cell r="K577">
            <v>0</v>
          </cell>
          <cell r="N577">
            <v>0</v>
          </cell>
        </row>
        <row r="578">
          <cell r="B578">
            <v>0</v>
          </cell>
          <cell r="J578" t="str">
            <v>Возмещение издержек по перевозке/по складским операциям с товаром</v>
          </cell>
          <cell r="K578">
            <v>0</v>
          </cell>
          <cell r="N578">
            <v>0</v>
          </cell>
        </row>
        <row r="579">
          <cell r="B579">
            <v>0</v>
          </cell>
          <cell r="J579" t="str">
            <v>Возмещение издержек по перевозке/по складским операциям с товаром</v>
          </cell>
          <cell r="K579">
            <v>0</v>
          </cell>
          <cell r="N579">
            <v>0</v>
          </cell>
        </row>
        <row r="580">
          <cell r="B580">
            <v>0</v>
          </cell>
          <cell r="J580" t="str">
            <v>Возмещение издержек по перевозке/по складским операциям с товаром</v>
          </cell>
          <cell r="K580">
            <v>0</v>
          </cell>
          <cell r="N580">
            <v>0</v>
          </cell>
        </row>
        <row r="581">
          <cell r="B581">
            <v>0</v>
          </cell>
          <cell r="J581" t="str">
            <v>Возмещение издержек по перевозке/по складским операциям с товаром</v>
          </cell>
          <cell r="K581">
            <v>0</v>
          </cell>
          <cell r="N581">
            <v>0</v>
          </cell>
        </row>
        <row r="582">
          <cell r="B582">
            <v>0</v>
          </cell>
          <cell r="J582" t="str">
            <v>Возмещение издержек по перевозке/по складским операциям с товаром</v>
          </cell>
          <cell r="K582">
            <v>0</v>
          </cell>
          <cell r="N582">
            <v>0</v>
          </cell>
        </row>
        <row r="583">
          <cell r="B583">
            <v>0</v>
          </cell>
          <cell r="J583" t="str">
            <v>Возмещение издержек по перевозке/по складским операциям с товаром</v>
          </cell>
          <cell r="K583">
            <v>0</v>
          </cell>
          <cell r="N583">
            <v>0</v>
          </cell>
        </row>
        <row r="584">
          <cell r="B584">
            <v>0</v>
          </cell>
          <cell r="J584" t="str">
            <v>Возмещение издержек по перевозке/по складским операциям с товаром</v>
          </cell>
          <cell r="K584">
            <v>0</v>
          </cell>
          <cell r="N584">
            <v>0</v>
          </cell>
        </row>
        <row r="585">
          <cell r="B585">
            <v>0</v>
          </cell>
          <cell r="J585" t="str">
            <v>Возмещение издержек по перевозке/по складским операциям с товаром</v>
          </cell>
          <cell r="K585">
            <v>0</v>
          </cell>
          <cell r="N585">
            <v>0</v>
          </cell>
        </row>
        <row r="586">
          <cell r="B586">
            <v>0</v>
          </cell>
          <cell r="J586" t="str">
            <v>Возмещение издержек по перевозке/по складским операциям с товаром</v>
          </cell>
          <cell r="K586">
            <v>0</v>
          </cell>
          <cell r="N586">
            <v>0</v>
          </cell>
        </row>
        <row r="587">
          <cell r="B587">
            <v>0</v>
          </cell>
          <cell r="J587" t="str">
            <v>Возмещение издержек по перевозке/по складским операциям с товаром</v>
          </cell>
          <cell r="K587">
            <v>0</v>
          </cell>
          <cell r="N587">
            <v>0</v>
          </cell>
        </row>
        <row r="588">
          <cell r="B588">
            <v>0</v>
          </cell>
          <cell r="J588" t="str">
            <v>Возмещение издержек по перевозке/по складским операциям с товаром</v>
          </cell>
          <cell r="K588">
            <v>0</v>
          </cell>
          <cell r="N588">
            <v>0</v>
          </cell>
        </row>
        <row r="589">
          <cell r="B589">
            <v>0</v>
          </cell>
          <cell r="J589" t="str">
            <v>Возмещение издержек по перевозке/по складским операциям с товаром</v>
          </cell>
          <cell r="K589">
            <v>0</v>
          </cell>
          <cell r="N589">
            <v>0</v>
          </cell>
        </row>
        <row r="590">
          <cell r="B590">
            <v>0</v>
          </cell>
          <cell r="J590" t="str">
            <v>Возмещение издержек по перевозке/по складским операциям с товаром</v>
          </cell>
          <cell r="K590">
            <v>0</v>
          </cell>
          <cell r="N590">
            <v>0</v>
          </cell>
        </row>
        <row r="591">
          <cell r="B591">
            <v>0</v>
          </cell>
          <cell r="J591" t="str">
            <v>Возмещение издержек по перевозке/по складским операциям с товаром</v>
          </cell>
          <cell r="K591">
            <v>0</v>
          </cell>
          <cell r="N591">
            <v>0</v>
          </cell>
        </row>
        <row r="592">
          <cell r="B592">
            <v>0</v>
          </cell>
          <cell r="J592" t="str">
            <v>Возмещение издержек по перевозке/по складским операциям с товаром</v>
          </cell>
          <cell r="K592">
            <v>0</v>
          </cell>
          <cell r="N592">
            <v>0</v>
          </cell>
        </row>
        <row r="593">
          <cell r="B593">
            <v>0</v>
          </cell>
          <cell r="J593" t="str">
            <v>Возмещение издержек по перевозке/по складским операциям с товаром</v>
          </cell>
          <cell r="K593">
            <v>0</v>
          </cell>
          <cell r="N593">
            <v>0</v>
          </cell>
        </row>
        <row r="594">
          <cell r="B594">
            <v>0</v>
          </cell>
          <cell r="J594" t="str">
            <v>Возмещение издержек по перевозке/по складским операциям с товаром</v>
          </cell>
          <cell r="K594">
            <v>0</v>
          </cell>
          <cell r="N594">
            <v>0</v>
          </cell>
        </row>
        <row r="595">
          <cell r="B595">
            <v>0</v>
          </cell>
          <cell r="J595" t="str">
            <v>Возмещение издержек по перевозке/по складским операциям с товаром</v>
          </cell>
          <cell r="K595">
            <v>0</v>
          </cell>
          <cell r="N595">
            <v>0</v>
          </cell>
        </row>
        <row r="596">
          <cell r="B596">
            <v>0</v>
          </cell>
          <cell r="J596" t="str">
            <v>Возмещение издержек по перевозке/по складским операциям с товаром</v>
          </cell>
          <cell r="K596">
            <v>0</v>
          </cell>
          <cell r="N596">
            <v>0</v>
          </cell>
        </row>
        <row r="597">
          <cell r="B597">
            <v>0</v>
          </cell>
          <cell r="J597" t="str">
            <v>Возмещение издержек по перевозке/по складским операциям с товаром</v>
          </cell>
          <cell r="K597">
            <v>0</v>
          </cell>
          <cell r="N597">
            <v>0</v>
          </cell>
        </row>
        <row r="598">
          <cell r="B598">
            <v>0</v>
          </cell>
          <cell r="J598" t="str">
            <v>Возмещение издержек по перевозке/по складским операциям с товаром</v>
          </cell>
          <cell r="K598">
            <v>0</v>
          </cell>
          <cell r="N598">
            <v>0</v>
          </cell>
        </row>
        <row r="599">
          <cell r="B599">
            <v>0</v>
          </cell>
          <cell r="J599" t="str">
            <v>Возмещение издержек по перевозке/по складским операциям с товаром</v>
          </cell>
          <cell r="K599">
            <v>0</v>
          </cell>
          <cell r="N599">
            <v>0</v>
          </cell>
        </row>
        <row r="600">
          <cell r="B600">
            <v>0</v>
          </cell>
          <cell r="J600" t="str">
            <v>Возмещение издержек по перевозке/по складским операциям с товаром</v>
          </cell>
          <cell r="K600">
            <v>0</v>
          </cell>
          <cell r="N600">
            <v>0</v>
          </cell>
        </row>
        <row r="601">
          <cell r="B601">
            <v>0</v>
          </cell>
          <cell r="J601" t="str">
            <v>Возмещение издержек по перевозке/по складским операциям с товаром</v>
          </cell>
          <cell r="K601">
            <v>0</v>
          </cell>
          <cell r="N601">
            <v>0</v>
          </cell>
        </row>
        <row r="602">
          <cell r="B602">
            <v>0</v>
          </cell>
          <cell r="J602" t="str">
            <v>Возмещение издержек по перевозке/по складским операциям с товаром</v>
          </cell>
          <cell r="K602">
            <v>0</v>
          </cell>
          <cell r="N602">
            <v>0</v>
          </cell>
        </row>
        <row r="603">
          <cell r="B603">
            <v>0</v>
          </cell>
          <cell r="J603" t="str">
            <v>Возмещение издержек по перевозке/по складским операциям с товаром</v>
          </cell>
          <cell r="K603">
            <v>0</v>
          </cell>
          <cell r="N603">
            <v>0</v>
          </cell>
        </row>
        <row r="604">
          <cell r="B604">
            <v>0</v>
          </cell>
          <cell r="J604" t="str">
            <v>Возмещение издержек по перевозке/по складским операциям с товаром</v>
          </cell>
          <cell r="K604">
            <v>0</v>
          </cell>
          <cell r="N604">
            <v>0</v>
          </cell>
        </row>
        <row r="605">
          <cell r="B605">
            <v>0</v>
          </cell>
          <cell r="J605" t="str">
            <v>Возмещение издержек по перевозке/по складским операциям с товаром</v>
          </cell>
          <cell r="K605">
            <v>0</v>
          </cell>
          <cell r="N605">
            <v>0</v>
          </cell>
        </row>
        <row r="606">
          <cell r="B606">
            <v>0</v>
          </cell>
          <cell r="J606" t="str">
            <v>Возмещение издержек по перевозке/по складским операциям с товаром</v>
          </cell>
          <cell r="K606">
            <v>0</v>
          </cell>
          <cell r="N606">
            <v>0</v>
          </cell>
        </row>
        <row r="607">
          <cell r="B607">
            <v>0</v>
          </cell>
          <cell r="J607" t="str">
            <v>Возмещение издержек по перевозке/по складским операциям с товаром</v>
          </cell>
          <cell r="K607">
            <v>0</v>
          </cell>
          <cell r="N607">
            <v>0</v>
          </cell>
        </row>
        <row r="608">
          <cell r="B608">
            <v>0</v>
          </cell>
          <cell r="J608" t="str">
            <v>Возмещение издержек по перевозке/по складским операциям с товаром</v>
          </cell>
          <cell r="K608">
            <v>0</v>
          </cell>
          <cell r="N608">
            <v>0</v>
          </cell>
        </row>
        <row r="609">
          <cell r="B609">
            <v>0</v>
          </cell>
          <cell r="J609" t="str">
            <v>Возмещение издержек по перевозке/по складским операциям с товаром</v>
          </cell>
          <cell r="K609">
            <v>0</v>
          </cell>
          <cell r="N609">
            <v>0</v>
          </cell>
        </row>
        <row r="610">
          <cell r="B610">
            <v>0</v>
          </cell>
          <cell r="J610" t="str">
            <v>Возмещение издержек по перевозке/по складским операциям с товаром</v>
          </cell>
          <cell r="K610">
            <v>0</v>
          </cell>
          <cell r="N610">
            <v>0</v>
          </cell>
        </row>
        <row r="611">
          <cell r="B611">
            <v>0</v>
          </cell>
          <cell r="J611" t="str">
            <v>Возмещение издержек по перевозке/по складским операциям с товаром</v>
          </cell>
          <cell r="K611">
            <v>0</v>
          </cell>
          <cell r="N611">
            <v>0</v>
          </cell>
        </row>
        <row r="612">
          <cell r="B612">
            <v>0</v>
          </cell>
          <cell r="J612" t="str">
            <v>Возмещение издержек по перевозке/по складским операциям с товаром</v>
          </cell>
          <cell r="K612">
            <v>0</v>
          </cell>
          <cell r="N612">
            <v>0</v>
          </cell>
        </row>
        <row r="613">
          <cell r="B613">
            <v>0</v>
          </cell>
          <cell r="J613" t="str">
            <v>Возмещение издержек по перевозке/по складским операциям с товаром</v>
          </cell>
          <cell r="K613">
            <v>0</v>
          </cell>
          <cell r="N613">
            <v>0</v>
          </cell>
        </row>
        <row r="614">
          <cell r="B614">
            <v>0</v>
          </cell>
          <cell r="J614" t="str">
            <v>Возмещение издержек по перевозке/по складским операциям с товаром</v>
          </cell>
          <cell r="K614">
            <v>0</v>
          </cell>
          <cell r="N614">
            <v>0</v>
          </cell>
        </row>
        <row r="615">
          <cell r="B615">
            <v>0</v>
          </cell>
          <cell r="J615" t="str">
            <v>Возмещение издержек по перевозке/по складским операциям с товаром</v>
          </cell>
          <cell r="K615">
            <v>0</v>
          </cell>
          <cell r="N615">
            <v>0</v>
          </cell>
        </row>
        <row r="616">
          <cell r="B616">
            <v>0</v>
          </cell>
          <cell r="J616" t="str">
            <v>Возмещение издержек по перевозке/по складским операциям с товаром</v>
          </cell>
          <cell r="K616">
            <v>0</v>
          </cell>
          <cell r="N616">
            <v>0</v>
          </cell>
        </row>
        <row r="617">
          <cell r="B617">
            <v>0</v>
          </cell>
          <cell r="J617" t="str">
            <v>Возмещение издержек по перевозке/по складским операциям с товаром</v>
          </cell>
          <cell r="K617">
            <v>0</v>
          </cell>
          <cell r="N617">
            <v>0</v>
          </cell>
        </row>
        <row r="618">
          <cell r="B618">
            <v>0</v>
          </cell>
          <cell r="J618" t="str">
            <v>Возмещение издержек по перевозке/по складским операциям с товаром</v>
          </cell>
          <cell r="K618">
            <v>0</v>
          </cell>
          <cell r="N618">
            <v>0</v>
          </cell>
        </row>
        <row r="619">
          <cell r="B619">
            <v>0</v>
          </cell>
          <cell r="J619" t="str">
            <v>Возмещение издержек по перевозке/по складским операциям с товаром</v>
          </cell>
          <cell r="K619">
            <v>0</v>
          </cell>
          <cell r="N619">
            <v>0</v>
          </cell>
        </row>
        <row r="620">
          <cell r="B620">
            <v>0</v>
          </cell>
          <cell r="J620" t="str">
            <v>Возмещение издержек по перевозке/по складским операциям с товаром</v>
          </cell>
          <cell r="K620">
            <v>0</v>
          </cell>
          <cell r="N620">
            <v>0</v>
          </cell>
        </row>
        <row r="621">
          <cell r="B621">
            <v>0</v>
          </cell>
          <cell r="J621" t="str">
            <v>Возмещение издержек по перевозке/по складским операциям с товаром</v>
          </cell>
          <cell r="K621">
            <v>0</v>
          </cell>
          <cell r="N621">
            <v>0</v>
          </cell>
        </row>
        <row r="622">
          <cell r="B622">
            <v>0</v>
          </cell>
          <cell r="J622" t="str">
            <v>Возмещение издержек по перевозке/по складским операциям с товаром</v>
          </cell>
          <cell r="K622">
            <v>0</v>
          </cell>
          <cell r="N622">
            <v>0</v>
          </cell>
        </row>
        <row r="623">
          <cell r="B623">
            <v>0</v>
          </cell>
          <cell r="J623" t="str">
            <v>Возмещение издержек по перевозке/по складским операциям с товаром</v>
          </cell>
          <cell r="K623">
            <v>0</v>
          </cell>
          <cell r="N623">
            <v>0</v>
          </cell>
        </row>
        <row r="624">
          <cell r="B624">
            <v>0</v>
          </cell>
          <cell r="J624" t="str">
            <v>Возмещение издержек по перевозке/по складским операциям с товаром</v>
          </cell>
          <cell r="K624">
            <v>0</v>
          </cell>
          <cell r="N624">
            <v>0</v>
          </cell>
        </row>
        <row r="625">
          <cell r="B625">
            <v>0</v>
          </cell>
          <cell r="J625" t="str">
            <v>Возмещение издержек по перевозке/по складским операциям с товаром</v>
          </cell>
          <cell r="K625">
            <v>0</v>
          </cell>
          <cell r="N625">
            <v>0</v>
          </cell>
        </row>
        <row r="626">
          <cell r="B626">
            <v>0</v>
          </cell>
          <cell r="J626" t="str">
            <v>Возмещение издержек по перевозке/по складским операциям с товаром</v>
          </cell>
          <cell r="K626">
            <v>0</v>
          </cell>
          <cell r="N626">
            <v>0</v>
          </cell>
        </row>
        <row r="627">
          <cell r="B627">
            <v>0</v>
          </cell>
          <cell r="J627" t="str">
            <v>Возмещение за выдачу и возврат товаров на ПВЗ</v>
          </cell>
          <cell r="K627">
            <v>0</v>
          </cell>
          <cell r="N627">
            <v>0</v>
          </cell>
        </row>
        <row r="628">
          <cell r="B628">
            <v>0</v>
          </cell>
          <cell r="J628" t="str">
            <v>Возмещение за выдачу и возврат товаров на ПВЗ</v>
          </cell>
          <cell r="K628">
            <v>0</v>
          </cell>
          <cell r="N628">
            <v>0</v>
          </cell>
        </row>
        <row r="629">
          <cell r="B629">
            <v>0</v>
          </cell>
          <cell r="J629" t="str">
            <v>Возмещение за выдачу и возврат товаров на ПВЗ</v>
          </cell>
          <cell r="K629">
            <v>0</v>
          </cell>
          <cell r="N629">
            <v>0</v>
          </cell>
        </row>
        <row r="630">
          <cell r="B630">
            <v>0</v>
          </cell>
          <cell r="J630" t="str">
            <v>Возмещение за выдачу и возврат товаров на ПВЗ</v>
          </cell>
          <cell r="K630">
            <v>0</v>
          </cell>
          <cell r="N630">
            <v>0</v>
          </cell>
        </row>
        <row r="631">
          <cell r="B631">
            <v>0</v>
          </cell>
          <cell r="J631" t="str">
            <v>Возмещение за выдачу и возврат товаров на ПВЗ</v>
          </cell>
          <cell r="K631">
            <v>0</v>
          </cell>
          <cell r="N631">
            <v>0</v>
          </cell>
        </row>
        <row r="632">
          <cell r="B632">
            <v>0</v>
          </cell>
          <cell r="J632" t="str">
            <v>Возмещение за выдачу и возврат товаров на ПВЗ</v>
          </cell>
          <cell r="K632">
            <v>0</v>
          </cell>
          <cell r="N632">
            <v>0</v>
          </cell>
        </row>
        <row r="633">
          <cell r="B633">
            <v>12190429</v>
          </cell>
          <cell r="J633" t="str">
            <v>Обработка товара</v>
          </cell>
          <cell r="K633">
            <v>0</v>
          </cell>
          <cell r="N633">
            <v>0</v>
          </cell>
        </row>
        <row r="634">
          <cell r="B634">
            <v>21013826</v>
          </cell>
          <cell r="J634" t="str">
            <v>Обработка товара</v>
          </cell>
          <cell r="K634">
            <v>0</v>
          </cell>
          <cell r="N634">
            <v>0</v>
          </cell>
        </row>
        <row r="635">
          <cell r="B635">
            <v>23791014</v>
          </cell>
          <cell r="J635" t="str">
            <v>Обработка товара</v>
          </cell>
          <cell r="K635">
            <v>0</v>
          </cell>
          <cell r="N635">
            <v>0</v>
          </cell>
        </row>
        <row r="636">
          <cell r="B636">
            <v>21013816</v>
          </cell>
          <cell r="J636" t="str">
            <v>Обработка товара</v>
          </cell>
          <cell r="K636">
            <v>0</v>
          </cell>
          <cell r="N636">
            <v>0</v>
          </cell>
        </row>
        <row r="637">
          <cell r="B637">
            <v>101236421</v>
          </cell>
          <cell r="J637" t="str">
            <v>Обработка товара</v>
          </cell>
          <cell r="K637">
            <v>0</v>
          </cell>
          <cell r="N637">
            <v>0</v>
          </cell>
        </row>
        <row r="638">
          <cell r="B638">
            <v>12645291</v>
          </cell>
          <cell r="J638" t="str">
            <v>Обработка товара</v>
          </cell>
          <cell r="K638">
            <v>0</v>
          </cell>
          <cell r="N638">
            <v>0</v>
          </cell>
        </row>
        <row r="639">
          <cell r="B639">
            <v>21013821</v>
          </cell>
          <cell r="J639" t="str">
            <v>Обработка товара</v>
          </cell>
          <cell r="K639">
            <v>0</v>
          </cell>
          <cell r="N639">
            <v>0</v>
          </cell>
        </row>
        <row r="640">
          <cell r="B640">
            <v>0</v>
          </cell>
          <cell r="J640" t="str">
            <v>Хранение</v>
          </cell>
          <cell r="K640">
            <v>0</v>
          </cell>
          <cell r="N640">
            <v>0</v>
          </cell>
        </row>
        <row r="641">
          <cell r="B641">
            <v>12190442</v>
          </cell>
          <cell r="J641" t="str">
            <v>Обработка товара</v>
          </cell>
          <cell r="K641">
            <v>0</v>
          </cell>
          <cell r="N641">
            <v>0</v>
          </cell>
        </row>
        <row r="642">
          <cell r="B642">
            <v>245202461</v>
          </cell>
          <cell r="J642" t="str">
            <v>Обработка товара</v>
          </cell>
          <cell r="K642">
            <v>0</v>
          </cell>
          <cell r="N642">
            <v>0</v>
          </cell>
        </row>
        <row r="643">
          <cell r="B643">
            <v>100059556</v>
          </cell>
          <cell r="J643" t="str">
            <v>Обработка товара</v>
          </cell>
          <cell r="K643">
            <v>0</v>
          </cell>
          <cell r="N643">
            <v>0</v>
          </cell>
        </row>
        <row r="644">
          <cell r="B644">
            <v>12190433</v>
          </cell>
          <cell r="J644" t="str">
            <v>Обработка товара</v>
          </cell>
          <cell r="K644">
            <v>0</v>
          </cell>
          <cell r="N644">
            <v>0</v>
          </cell>
        </row>
        <row r="645">
          <cell r="B645">
            <v>21013817</v>
          </cell>
          <cell r="J645" t="str">
            <v>Обработка товара</v>
          </cell>
          <cell r="K645">
            <v>0</v>
          </cell>
          <cell r="N645">
            <v>0</v>
          </cell>
        </row>
        <row r="646">
          <cell r="B646">
            <v>12190437</v>
          </cell>
          <cell r="J646" t="str">
            <v>Обработка товара</v>
          </cell>
          <cell r="K646">
            <v>0</v>
          </cell>
          <cell r="N646">
            <v>0</v>
          </cell>
        </row>
        <row r="647">
          <cell r="B647">
            <v>12190430</v>
          </cell>
          <cell r="J647" t="str">
            <v>Обработка товара</v>
          </cell>
          <cell r="K647">
            <v>0</v>
          </cell>
          <cell r="N647">
            <v>0</v>
          </cell>
        </row>
        <row r="648">
          <cell r="B648">
            <v>12190429</v>
          </cell>
          <cell r="J648" t="str">
            <v>Обработка товара</v>
          </cell>
          <cell r="K648">
            <v>0</v>
          </cell>
          <cell r="N648">
            <v>0</v>
          </cell>
        </row>
        <row r="649">
          <cell r="B649">
            <v>245203536</v>
          </cell>
          <cell r="J649" t="str">
            <v>Обработка товара</v>
          </cell>
          <cell r="K649">
            <v>0</v>
          </cell>
          <cell r="N649">
            <v>0</v>
          </cell>
        </row>
        <row r="650">
          <cell r="B650">
            <v>23791008</v>
          </cell>
          <cell r="J650" t="str">
            <v>Логистика</v>
          </cell>
          <cell r="K650">
            <v>0</v>
          </cell>
          <cell r="N650">
            <v>39.090000000000003</v>
          </cell>
          <cell r="AC650" t="str">
            <v>К клиенту при продаже</v>
          </cell>
        </row>
        <row r="651">
          <cell r="B651">
            <v>23791008</v>
          </cell>
          <cell r="J651" t="str">
            <v>Продажа</v>
          </cell>
          <cell r="K651">
            <v>925.08</v>
          </cell>
          <cell r="N651">
            <v>0</v>
          </cell>
        </row>
        <row r="652">
          <cell r="B652">
            <v>23791013</v>
          </cell>
          <cell r="J652" t="str">
            <v>Логистика</v>
          </cell>
          <cell r="K652">
            <v>0</v>
          </cell>
          <cell r="N652">
            <v>39.08</v>
          </cell>
          <cell r="AC652" t="str">
            <v>К клиенту при продаже</v>
          </cell>
        </row>
        <row r="653">
          <cell r="B653">
            <v>23791013</v>
          </cell>
          <cell r="J653" t="str">
            <v>Продажа</v>
          </cell>
          <cell r="K653">
            <v>875.04</v>
          </cell>
          <cell r="N653">
            <v>0</v>
          </cell>
        </row>
        <row r="654">
          <cell r="B654">
            <v>23791015</v>
          </cell>
          <cell r="J654" t="str">
            <v>Логистика</v>
          </cell>
          <cell r="K654">
            <v>0</v>
          </cell>
          <cell r="N654">
            <v>33.89</v>
          </cell>
          <cell r="AC654" t="str">
            <v>К клиенту при продаже</v>
          </cell>
        </row>
        <row r="655">
          <cell r="B655">
            <v>23791015</v>
          </cell>
          <cell r="J655" t="str">
            <v>Продажа</v>
          </cell>
          <cell r="K655">
            <v>925.04</v>
          </cell>
          <cell r="N655">
            <v>0</v>
          </cell>
        </row>
        <row r="656">
          <cell r="B656">
            <v>21013822</v>
          </cell>
          <cell r="J656" t="str">
            <v>Логистика</v>
          </cell>
          <cell r="K656">
            <v>0</v>
          </cell>
          <cell r="N656">
            <v>59.95</v>
          </cell>
          <cell r="AC656" t="str">
            <v>К клиенту при продаже</v>
          </cell>
        </row>
        <row r="657">
          <cell r="B657">
            <v>21013822</v>
          </cell>
          <cell r="J657" t="str">
            <v>Продажа</v>
          </cell>
          <cell r="K657">
            <v>1305.7</v>
          </cell>
          <cell r="N657">
            <v>0</v>
          </cell>
        </row>
        <row r="658">
          <cell r="B658">
            <v>21013821</v>
          </cell>
          <cell r="J658" t="str">
            <v>Логистика</v>
          </cell>
          <cell r="K658">
            <v>0</v>
          </cell>
          <cell r="N658">
            <v>60.85</v>
          </cell>
          <cell r="AC658" t="str">
            <v>К клиенту при продаже</v>
          </cell>
        </row>
        <row r="659">
          <cell r="B659">
            <v>21013821</v>
          </cell>
          <cell r="J659" t="str">
            <v>Продажа</v>
          </cell>
          <cell r="K659">
            <v>1495.95</v>
          </cell>
          <cell r="N65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18"/>
  <sheetViews>
    <sheetView tabSelected="1" topLeftCell="F1" workbookViewId="0">
      <selection activeCell="O97" sqref="G97:O97"/>
    </sheetView>
  </sheetViews>
  <sheetFormatPr defaultRowHeight="15" x14ac:dyDescent="0.25"/>
  <cols>
    <col min="1" max="1" width="23.140625" bestFit="1" customWidth="1"/>
    <col min="2" max="2" width="22.5703125" bestFit="1" customWidth="1"/>
    <col min="3" max="3" width="10" bestFit="1" customWidth="1"/>
    <col min="4" max="4" width="17.85546875" bestFit="1" customWidth="1"/>
    <col min="5" max="5" width="71.7109375" bestFit="1" customWidth="1"/>
    <col min="6" max="6" width="31.85546875" bestFit="1" customWidth="1"/>
    <col min="7" max="7" width="10.85546875" bestFit="1" customWidth="1"/>
    <col min="8" max="8" width="9.5703125" bestFit="1" customWidth="1"/>
    <col min="9" max="9" width="24" bestFit="1" customWidth="1"/>
    <col min="10" max="10" width="21" bestFit="1" customWidth="1"/>
    <col min="11" max="11" width="12.5703125" bestFit="1" customWidth="1"/>
    <col min="12" max="12" width="11.140625" bestFit="1" customWidth="1"/>
    <col min="14" max="14" width="19.7109375" bestFit="1" customWidth="1"/>
    <col min="15" max="15" width="19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361</v>
      </c>
      <c r="H1" t="s">
        <v>362</v>
      </c>
      <c r="I1" t="s">
        <v>363</v>
      </c>
      <c r="J1" t="s">
        <v>364</v>
      </c>
      <c r="K1" t="s">
        <v>365</v>
      </c>
      <c r="L1" t="s">
        <v>366</v>
      </c>
      <c r="M1" t="s">
        <v>367</v>
      </c>
      <c r="N1" t="s">
        <v>368</v>
      </c>
      <c r="O1" t="s">
        <v>369</v>
      </c>
      <c r="P1" t="s">
        <v>370</v>
      </c>
    </row>
    <row r="2" spans="1:16" hidden="1" x14ac:dyDescent="0.25">
      <c r="A2" t="s">
        <v>6</v>
      </c>
      <c r="B2" t="s">
        <v>7</v>
      </c>
      <c r="C2">
        <v>547887233</v>
      </c>
      <c r="D2" t="s">
        <v>11</v>
      </c>
      <c r="E2" t="s">
        <v>128</v>
      </c>
      <c r="F2" t="s">
        <v>244</v>
      </c>
      <c r="G2">
        <f>INDEX([1]Sheet1!$D:$D,MATCH(D2,[1]Sheet1!$C:$C,0))</f>
        <v>5</v>
      </c>
      <c r="H2">
        <f>INDEX([1]Sheet1!$E:$E,MATCH(D2,[1]Sheet1!$C:$C,0))</f>
        <v>0</v>
      </c>
      <c r="I2">
        <f>INDEX([1]Sheet1!$F:$F,MATCH(D2,[1]Sheet1!$C:$C,0))</f>
        <v>0</v>
      </c>
      <c r="J2">
        <f>INDEX([1]Sheet1!$G:$G,MATCH(D2,[1]Sheet1!$C:$C,0))</f>
        <v>0</v>
      </c>
      <c r="K2">
        <f>INDEX([1]Sheet1!$H:$H,MATCH(D2,[1]Sheet1!$C:$C,0))</f>
        <v>0</v>
      </c>
      <c r="L2">
        <f>INDEX([1]Sheet1!$I:$I,MATCH(D2,[1]Sheet1!$C:$C,0))</f>
        <v>0</v>
      </c>
      <c r="M2" t="e">
        <f>SUMIFS([2]Sheet1!$K:$K,[2]Sheet1!$B:$B,C2,[2]Sheet1!$J:$J,"Продажа")</f>
        <v>#VALUE!</v>
      </c>
      <c r="N2" t="e">
        <f>SUMIFS([2]Sheet1!$N:$N,[2]Sheet1!$B:$B,C2,[2]Sheet1!$J:$J,"Логистика",[2]Sheet1!$AC:$AC,"К клиенту при продаже")</f>
        <v>#VALUE!</v>
      </c>
    </row>
    <row r="3" spans="1:16" hidden="1" x14ac:dyDescent="0.25">
      <c r="A3" t="s">
        <v>6</v>
      </c>
      <c r="B3" t="s">
        <v>7</v>
      </c>
      <c r="C3">
        <v>547869551</v>
      </c>
      <c r="D3" t="s">
        <v>12</v>
      </c>
      <c r="E3" t="s">
        <v>129</v>
      </c>
      <c r="F3" t="s">
        <v>245</v>
      </c>
      <c r="G3">
        <f>INDEX([1]Sheet1!$D:$D,MATCH(D3,[1]Sheet1!$C:$C,0))</f>
        <v>10</v>
      </c>
      <c r="H3">
        <f>INDEX([1]Sheet1!$E:$E,MATCH(D3,[1]Sheet1!$C:$C,0))</f>
        <v>2</v>
      </c>
      <c r="I3">
        <f>INDEX([1]Sheet1!$F:$F,MATCH(D3,[1]Sheet1!$C:$C,0))</f>
        <v>0</v>
      </c>
      <c r="J3">
        <f>INDEX([1]Sheet1!$G:$G,MATCH(D3,[1]Sheet1!$C:$C,0))</f>
        <v>0</v>
      </c>
      <c r="K3">
        <f>INDEX([1]Sheet1!$H:$H,MATCH(D3,[1]Sheet1!$C:$C,0))</f>
        <v>0</v>
      </c>
      <c r="L3">
        <f>INDEX([1]Sheet1!$I:$I,MATCH(D3,[1]Sheet1!$C:$C,0))</f>
        <v>0</v>
      </c>
      <c r="M3" t="e">
        <f>SUMIFS([2]Sheet1!$K:$K,[2]Sheet1!$B:$B,C3,[2]Sheet1!$J:$J,"Продажа")</f>
        <v>#VALUE!</v>
      </c>
      <c r="N3" t="e">
        <f>SUMIFS([2]Sheet1!$N:$N,[2]Sheet1!$B:$B,C3,[2]Sheet1!$J:$J,"Логистика",[2]Sheet1!$AC:$AC,"К клиенту при продаже")</f>
        <v>#VALUE!</v>
      </c>
    </row>
    <row r="4" spans="1:16" hidden="1" x14ac:dyDescent="0.25">
      <c r="A4" t="s">
        <v>6</v>
      </c>
      <c r="B4" t="s">
        <v>7</v>
      </c>
      <c r="C4">
        <v>547901003</v>
      </c>
      <c r="D4" t="s">
        <v>13</v>
      </c>
      <c r="E4" t="s">
        <v>130</v>
      </c>
      <c r="F4" t="s">
        <v>246</v>
      </c>
      <c r="G4">
        <f>INDEX([1]Sheet1!$D:$D,MATCH(D4,[1]Sheet1!$C:$C,0))</f>
        <v>2</v>
      </c>
      <c r="H4">
        <f>INDEX([1]Sheet1!$E:$E,MATCH(D4,[1]Sheet1!$C:$C,0))</f>
        <v>0</v>
      </c>
      <c r="I4">
        <f>INDEX([1]Sheet1!$F:$F,MATCH(D4,[1]Sheet1!$C:$C,0))</f>
        <v>0</v>
      </c>
      <c r="J4">
        <f>INDEX([1]Sheet1!$G:$G,MATCH(D4,[1]Sheet1!$C:$C,0))</f>
        <v>0</v>
      </c>
      <c r="K4">
        <f>INDEX([1]Sheet1!$H:$H,MATCH(D4,[1]Sheet1!$C:$C,0))</f>
        <v>0</v>
      </c>
      <c r="L4">
        <f>INDEX([1]Sheet1!$I:$I,MATCH(D4,[1]Sheet1!$C:$C,0))</f>
        <v>0</v>
      </c>
      <c r="M4" t="e">
        <f>SUMIFS([2]Sheet1!$K:$K,[2]Sheet1!$B:$B,C4,[2]Sheet1!$J:$J,"Продажа")</f>
        <v>#VALUE!</v>
      </c>
      <c r="N4" t="e">
        <f>SUMIFS([2]Sheet1!$N:$N,[2]Sheet1!$B:$B,C4,[2]Sheet1!$J:$J,"Логистика",[2]Sheet1!$AC:$AC,"К клиенту при продаже")</f>
        <v>#VALUE!</v>
      </c>
    </row>
    <row r="5" spans="1:16" hidden="1" x14ac:dyDescent="0.25">
      <c r="A5" t="s">
        <v>6</v>
      </c>
      <c r="B5" t="s">
        <v>7</v>
      </c>
      <c r="C5">
        <v>547895815</v>
      </c>
      <c r="D5" t="s">
        <v>14</v>
      </c>
      <c r="E5" t="s">
        <v>131</v>
      </c>
      <c r="F5" t="s">
        <v>247</v>
      </c>
      <c r="G5">
        <f>INDEX([1]Sheet1!$D:$D,MATCH(D5,[1]Sheet1!$C:$C,0))</f>
        <v>0</v>
      </c>
      <c r="H5">
        <f>INDEX([1]Sheet1!$E:$E,MATCH(D5,[1]Sheet1!$C:$C,0))</f>
        <v>0</v>
      </c>
      <c r="I5">
        <f>INDEX([1]Sheet1!$F:$F,MATCH(D5,[1]Sheet1!$C:$C,0))</f>
        <v>0</v>
      </c>
      <c r="J5">
        <f>INDEX([1]Sheet1!$G:$G,MATCH(D5,[1]Sheet1!$C:$C,0))</f>
        <v>0</v>
      </c>
      <c r="K5">
        <f>INDEX([1]Sheet1!$H:$H,MATCH(D5,[1]Sheet1!$C:$C,0))</f>
        <v>0</v>
      </c>
      <c r="L5">
        <f>INDEX([1]Sheet1!$I:$I,MATCH(D5,[1]Sheet1!$C:$C,0))</f>
        <v>0</v>
      </c>
      <c r="M5" t="e">
        <f>SUMIFS([2]Sheet1!$K:$K,[2]Sheet1!$B:$B,C5,[2]Sheet1!$J:$J,"Продажа")</f>
        <v>#VALUE!</v>
      </c>
      <c r="N5" t="e">
        <f>SUMIFS([2]Sheet1!$N:$N,[2]Sheet1!$B:$B,C5,[2]Sheet1!$J:$J,"Логистика",[2]Sheet1!$AC:$AC,"К клиенту при продаже")</f>
        <v>#VALUE!</v>
      </c>
    </row>
    <row r="6" spans="1:16" hidden="1" x14ac:dyDescent="0.25">
      <c r="A6" t="s">
        <v>6</v>
      </c>
      <c r="B6" t="s">
        <v>7</v>
      </c>
      <c r="C6">
        <v>547881667</v>
      </c>
      <c r="D6" t="s">
        <v>15</v>
      </c>
      <c r="E6" t="s">
        <v>132</v>
      </c>
      <c r="F6" t="s">
        <v>248</v>
      </c>
      <c r="G6">
        <f>INDEX([1]Sheet1!$D:$D,MATCH(D6,[1]Sheet1!$C:$C,0))</f>
        <v>2</v>
      </c>
      <c r="H6">
        <f>INDEX([1]Sheet1!$E:$E,MATCH(D6,[1]Sheet1!$C:$C,0))</f>
        <v>0</v>
      </c>
      <c r="I6">
        <f>INDEX([1]Sheet1!$F:$F,MATCH(D6,[1]Sheet1!$C:$C,0))</f>
        <v>0</v>
      </c>
      <c r="J6">
        <f>INDEX([1]Sheet1!$G:$G,MATCH(D6,[1]Sheet1!$C:$C,0))</f>
        <v>0</v>
      </c>
      <c r="K6">
        <f>INDEX([1]Sheet1!$H:$H,MATCH(D6,[1]Sheet1!$C:$C,0))</f>
        <v>0</v>
      </c>
      <c r="L6">
        <f>INDEX([1]Sheet1!$I:$I,MATCH(D6,[1]Sheet1!$C:$C,0))</f>
        <v>0</v>
      </c>
      <c r="M6" t="e">
        <f>SUMIFS([2]Sheet1!$K:$K,[2]Sheet1!$B:$B,C6,[2]Sheet1!$J:$J,"Продажа")</f>
        <v>#VALUE!</v>
      </c>
      <c r="N6" t="e">
        <f>SUMIFS([2]Sheet1!$N:$N,[2]Sheet1!$B:$B,C6,[2]Sheet1!$J:$J,"Логистика",[2]Sheet1!$AC:$AC,"К клиенту при продаже")</f>
        <v>#VALUE!</v>
      </c>
    </row>
    <row r="7" spans="1:16" hidden="1" x14ac:dyDescent="0.25">
      <c r="A7" t="s">
        <v>6</v>
      </c>
      <c r="B7" t="s">
        <v>7</v>
      </c>
      <c r="C7">
        <v>547837924</v>
      </c>
      <c r="D7" t="s">
        <v>16</v>
      </c>
      <c r="E7" t="s">
        <v>133</v>
      </c>
      <c r="F7" t="s">
        <v>249</v>
      </c>
      <c r="G7">
        <f>INDEX([1]Sheet1!$D:$D,MATCH(D7,[1]Sheet1!$C:$C,0))</f>
        <v>0</v>
      </c>
      <c r="H7">
        <f>INDEX([1]Sheet1!$E:$E,MATCH(D7,[1]Sheet1!$C:$C,0))</f>
        <v>0</v>
      </c>
      <c r="I7">
        <f>INDEX([1]Sheet1!$F:$F,MATCH(D7,[1]Sheet1!$C:$C,0))</f>
        <v>0</v>
      </c>
      <c r="J7">
        <f>INDEX([1]Sheet1!$G:$G,MATCH(D7,[1]Sheet1!$C:$C,0))</f>
        <v>0</v>
      </c>
      <c r="K7">
        <f>INDEX([1]Sheet1!$H:$H,MATCH(D7,[1]Sheet1!$C:$C,0))</f>
        <v>0</v>
      </c>
      <c r="L7">
        <f>INDEX([1]Sheet1!$I:$I,MATCH(D7,[1]Sheet1!$C:$C,0))</f>
        <v>0</v>
      </c>
      <c r="M7" t="e">
        <f>SUMIFS([2]Sheet1!$K:$K,[2]Sheet1!$B:$B,C7,[2]Sheet1!$J:$J,"Продажа")</f>
        <v>#VALUE!</v>
      </c>
      <c r="N7" t="e">
        <f>SUMIFS([2]Sheet1!$N:$N,[2]Sheet1!$B:$B,C7,[2]Sheet1!$J:$J,"Логистика",[2]Sheet1!$AC:$AC,"К клиенту при продаже")</f>
        <v>#VALUE!</v>
      </c>
    </row>
    <row r="8" spans="1:16" hidden="1" x14ac:dyDescent="0.25">
      <c r="A8" t="s">
        <v>6</v>
      </c>
      <c r="B8" t="s">
        <v>8</v>
      </c>
      <c r="C8">
        <v>420775538</v>
      </c>
      <c r="D8" t="s">
        <v>17</v>
      </c>
      <c r="E8" t="s">
        <v>134</v>
      </c>
      <c r="F8" t="s">
        <v>250</v>
      </c>
      <c r="G8">
        <f>INDEX([1]Sheet1!$D:$D,MATCH(D8,[1]Sheet1!$C:$C,0))</f>
        <v>7</v>
      </c>
      <c r="H8">
        <f>INDEX([1]Sheet1!$E:$E,MATCH(D8,[1]Sheet1!$C:$C,0))</f>
        <v>0</v>
      </c>
      <c r="I8">
        <f>INDEX([1]Sheet1!$F:$F,MATCH(D8,[1]Sheet1!$C:$C,0))</f>
        <v>0</v>
      </c>
      <c r="J8">
        <f>INDEX([1]Sheet1!$G:$G,MATCH(D8,[1]Sheet1!$C:$C,0))</f>
        <v>0</v>
      </c>
      <c r="K8">
        <f>INDEX([1]Sheet1!$H:$H,MATCH(D8,[1]Sheet1!$C:$C,0))</f>
        <v>0</v>
      </c>
      <c r="L8">
        <f>INDEX([1]Sheet1!$I:$I,MATCH(D8,[1]Sheet1!$C:$C,0))</f>
        <v>0</v>
      </c>
      <c r="M8" t="e">
        <f>SUMIFS([2]Sheet1!$K:$K,[2]Sheet1!$B:$B,C8,[2]Sheet1!$J:$J,"Продажа")</f>
        <v>#VALUE!</v>
      </c>
      <c r="N8" t="e">
        <f>SUMIFS([2]Sheet1!$N:$N,[2]Sheet1!$B:$B,C8,[2]Sheet1!$J:$J,"Логистика",[2]Sheet1!$AC:$AC,"К клиенту при продаже")</f>
        <v>#VALUE!</v>
      </c>
    </row>
    <row r="9" spans="1:16" hidden="1" x14ac:dyDescent="0.25">
      <c r="A9" t="s">
        <v>6</v>
      </c>
      <c r="B9" t="s">
        <v>8</v>
      </c>
      <c r="C9">
        <v>420736595</v>
      </c>
      <c r="D9" t="s">
        <v>18</v>
      </c>
      <c r="E9" t="s">
        <v>135</v>
      </c>
      <c r="F9" t="s">
        <v>251</v>
      </c>
      <c r="G9">
        <f>INDEX([1]Sheet1!$D:$D,MATCH(D9,[1]Sheet1!$C:$C,0))</f>
        <v>7</v>
      </c>
      <c r="H9">
        <f>INDEX([1]Sheet1!$E:$E,MATCH(D9,[1]Sheet1!$C:$C,0))</f>
        <v>1</v>
      </c>
      <c r="I9">
        <f>INDEX([1]Sheet1!$F:$F,MATCH(D9,[1]Sheet1!$C:$C,0))</f>
        <v>0</v>
      </c>
      <c r="J9">
        <f>INDEX([1]Sheet1!$G:$G,MATCH(D9,[1]Sheet1!$C:$C,0))</f>
        <v>0</v>
      </c>
      <c r="K9">
        <f>INDEX([1]Sheet1!$H:$H,MATCH(D9,[1]Sheet1!$C:$C,0))</f>
        <v>0</v>
      </c>
      <c r="L9">
        <f>INDEX([1]Sheet1!$I:$I,MATCH(D9,[1]Sheet1!$C:$C,0))</f>
        <v>0</v>
      </c>
      <c r="M9" t="e">
        <f>SUMIFS([2]Sheet1!$K:$K,[2]Sheet1!$B:$B,C9,[2]Sheet1!$J:$J,"Продажа")</f>
        <v>#VALUE!</v>
      </c>
      <c r="N9" t="e">
        <f>SUMIFS([2]Sheet1!$N:$N,[2]Sheet1!$B:$B,C9,[2]Sheet1!$J:$J,"Логистика",[2]Sheet1!$AC:$AC,"К клиенту при продаже")</f>
        <v>#VALUE!</v>
      </c>
    </row>
    <row r="10" spans="1:16" hidden="1" x14ac:dyDescent="0.25">
      <c r="A10" t="s">
        <v>6</v>
      </c>
      <c r="B10" t="s">
        <v>8</v>
      </c>
      <c r="C10">
        <v>420710677</v>
      </c>
      <c r="D10" t="s">
        <v>19</v>
      </c>
      <c r="E10" t="s">
        <v>136</v>
      </c>
      <c r="F10" t="s">
        <v>252</v>
      </c>
      <c r="G10">
        <f>INDEX([1]Sheet1!$D:$D,MATCH(D10,[1]Sheet1!$C:$C,0))</f>
        <v>3</v>
      </c>
      <c r="H10">
        <f>INDEX([1]Sheet1!$E:$E,MATCH(D10,[1]Sheet1!$C:$C,0))</f>
        <v>0</v>
      </c>
      <c r="I10">
        <f>INDEX([1]Sheet1!$F:$F,MATCH(D10,[1]Sheet1!$C:$C,0))</f>
        <v>0</v>
      </c>
      <c r="J10">
        <f>INDEX([1]Sheet1!$G:$G,MATCH(D10,[1]Sheet1!$C:$C,0))</f>
        <v>0</v>
      </c>
      <c r="K10">
        <f>INDEX([1]Sheet1!$H:$H,MATCH(D10,[1]Sheet1!$C:$C,0))</f>
        <v>0</v>
      </c>
      <c r="L10">
        <f>INDEX([1]Sheet1!$I:$I,MATCH(D10,[1]Sheet1!$C:$C,0))</f>
        <v>0</v>
      </c>
      <c r="M10" t="e">
        <f>SUMIFS([2]Sheet1!$K:$K,[2]Sheet1!$B:$B,C10,[2]Sheet1!$J:$J,"Продажа")</f>
        <v>#VALUE!</v>
      </c>
      <c r="N10" t="e">
        <f>SUMIFS([2]Sheet1!$N:$N,[2]Sheet1!$B:$B,C10,[2]Sheet1!$J:$J,"Логистика",[2]Sheet1!$AC:$AC,"К клиенту при продаже")</f>
        <v>#VALUE!</v>
      </c>
    </row>
    <row r="11" spans="1:16" hidden="1" x14ac:dyDescent="0.25">
      <c r="A11" t="s">
        <v>6</v>
      </c>
      <c r="B11" t="s">
        <v>8</v>
      </c>
      <c r="C11">
        <v>420755223</v>
      </c>
      <c r="D11" t="s">
        <v>20</v>
      </c>
      <c r="E11" t="s">
        <v>137</v>
      </c>
      <c r="F11" t="s">
        <v>253</v>
      </c>
      <c r="G11">
        <f>INDEX([1]Sheet1!$D:$D,MATCH(D11,[1]Sheet1!$C:$C,0))</f>
        <v>6</v>
      </c>
      <c r="H11">
        <f>INDEX([1]Sheet1!$E:$E,MATCH(D11,[1]Sheet1!$C:$C,0))</f>
        <v>0</v>
      </c>
      <c r="I11">
        <f>INDEX([1]Sheet1!$F:$F,MATCH(D11,[1]Sheet1!$C:$C,0))</f>
        <v>0</v>
      </c>
      <c r="J11">
        <f>INDEX([1]Sheet1!$G:$G,MATCH(D11,[1]Sheet1!$C:$C,0))</f>
        <v>0</v>
      </c>
      <c r="K11">
        <f>INDEX([1]Sheet1!$H:$H,MATCH(D11,[1]Sheet1!$C:$C,0))</f>
        <v>0</v>
      </c>
      <c r="L11">
        <f>INDEX([1]Sheet1!$I:$I,MATCH(D11,[1]Sheet1!$C:$C,0))</f>
        <v>0</v>
      </c>
      <c r="M11" t="e">
        <f>SUMIFS([2]Sheet1!$K:$K,[2]Sheet1!$B:$B,C11,[2]Sheet1!$J:$J,"Продажа")</f>
        <v>#VALUE!</v>
      </c>
      <c r="N11" t="e">
        <f>SUMIFS([2]Sheet1!$N:$N,[2]Sheet1!$B:$B,C11,[2]Sheet1!$J:$J,"Логистика",[2]Sheet1!$AC:$AC,"К клиенту при продаже")</f>
        <v>#VALUE!</v>
      </c>
    </row>
    <row r="12" spans="1:16" hidden="1" x14ac:dyDescent="0.25">
      <c r="A12" t="s">
        <v>6</v>
      </c>
      <c r="B12" t="s">
        <v>8</v>
      </c>
      <c r="C12">
        <v>420762134</v>
      </c>
      <c r="D12" t="s">
        <v>21</v>
      </c>
      <c r="E12" t="s">
        <v>138</v>
      </c>
      <c r="F12" t="s">
        <v>254</v>
      </c>
      <c r="G12">
        <f>INDEX([1]Sheet1!$D:$D,MATCH(D12,[1]Sheet1!$C:$C,0))</f>
        <v>8</v>
      </c>
      <c r="H12">
        <f>INDEX([1]Sheet1!$E:$E,MATCH(D12,[1]Sheet1!$C:$C,0))</f>
        <v>2</v>
      </c>
      <c r="I12">
        <f>INDEX([1]Sheet1!$F:$F,MATCH(D12,[1]Sheet1!$C:$C,0))</f>
        <v>0</v>
      </c>
      <c r="J12">
        <f>INDEX([1]Sheet1!$G:$G,MATCH(D12,[1]Sheet1!$C:$C,0))</f>
        <v>0</v>
      </c>
      <c r="K12">
        <f>INDEX([1]Sheet1!$H:$H,MATCH(D12,[1]Sheet1!$C:$C,0))</f>
        <v>0</v>
      </c>
      <c r="L12">
        <f>INDEX([1]Sheet1!$I:$I,MATCH(D12,[1]Sheet1!$C:$C,0))</f>
        <v>0</v>
      </c>
      <c r="M12" t="e">
        <f>SUMIFS([2]Sheet1!$K:$K,[2]Sheet1!$B:$B,C12,[2]Sheet1!$J:$J,"Продажа")</f>
        <v>#VALUE!</v>
      </c>
      <c r="N12" t="e">
        <f>SUMIFS([2]Sheet1!$N:$N,[2]Sheet1!$B:$B,C12,[2]Sheet1!$J:$J,"Логистика",[2]Sheet1!$AC:$AC,"К клиенту при продаже")</f>
        <v>#VALUE!</v>
      </c>
    </row>
    <row r="13" spans="1:16" hidden="1" x14ac:dyDescent="0.25">
      <c r="A13" t="s">
        <v>6</v>
      </c>
      <c r="B13" t="s">
        <v>8</v>
      </c>
      <c r="C13">
        <v>420728273</v>
      </c>
      <c r="D13" t="s">
        <v>22</v>
      </c>
      <c r="E13" t="s">
        <v>139</v>
      </c>
      <c r="F13" t="s">
        <v>255</v>
      </c>
      <c r="G13">
        <f>INDEX([1]Sheet1!$D:$D,MATCH(D13,[1]Sheet1!$C:$C,0))</f>
        <v>4</v>
      </c>
      <c r="H13">
        <f>INDEX([1]Sheet1!$E:$E,MATCH(D13,[1]Sheet1!$C:$C,0))</f>
        <v>0</v>
      </c>
      <c r="I13">
        <f>INDEX([1]Sheet1!$F:$F,MATCH(D13,[1]Sheet1!$C:$C,0))</f>
        <v>0</v>
      </c>
      <c r="J13">
        <f>INDEX([1]Sheet1!$G:$G,MATCH(D13,[1]Sheet1!$C:$C,0))</f>
        <v>0</v>
      </c>
      <c r="K13">
        <f>INDEX([1]Sheet1!$H:$H,MATCH(D13,[1]Sheet1!$C:$C,0))</f>
        <v>0</v>
      </c>
      <c r="L13">
        <f>INDEX([1]Sheet1!$I:$I,MATCH(D13,[1]Sheet1!$C:$C,0))</f>
        <v>0</v>
      </c>
      <c r="M13" t="e">
        <f>SUMIFS([2]Sheet1!$K:$K,[2]Sheet1!$B:$B,C13,[2]Sheet1!$J:$J,"Продажа")</f>
        <v>#VALUE!</v>
      </c>
      <c r="N13" t="e">
        <f>SUMIFS([2]Sheet1!$N:$N,[2]Sheet1!$B:$B,C13,[2]Sheet1!$J:$J,"Логистика",[2]Sheet1!$AC:$AC,"К клиенту при продаже")</f>
        <v>#VALUE!</v>
      </c>
    </row>
    <row r="14" spans="1:16" hidden="1" x14ac:dyDescent="0.25">
      <c r="A14" t="s">
        <v>6</v>
      </c>
      <c r="B14" t="s">
        <v>8</v>
      </c>
      <c r="C14">
        <v>12190430</v>
      </c>
      <c r="D14" t="s">
        <v>23</v>
      </c>
      <c r="E14" t="s">
        <v>140</v>
      </c>
      <c r="F14" t="s">
        <v>256</v>
      </c>
      <c r="G14">
        <f>INDEX([1]Sheet1!$D:$D,MATCH(D14,[1]Sheet1!$C:$C,0))</f>
        <v>107</v>
      </c>
      <c r="H14">
        <f>INDEX([1]Sheet1!$E:$E,MATCH(D14,[1]Sheet1!$C:$C,0))</f>
        <v>13</v>
      </c>
      <c r="I14">
        <f>INDEX([1]Sheet1!$F:$F,MATCH(D14,[1]Sheet1!$C:$C,0))</f>
        <v>5</v>
      </c>
      <c r="J14">
        <f>INDEX([1]Sheet1!$G:$G,MATCH(D14,[1]Sheet1!$C:$C,0))</f>
        <v>7480</v>
      </c>
      <c r="K14">
        <f>INDEX([1]Sheet1!$H:$H,MATCH(D14,[1]Sheet1!$C:$C,0))</f>
        <v>4</v>
      </c>
      <c r="L14">
        <f>INDEX([1]Sheet1!$I:$I,MATCH(D14,[1]Sheet1!$C:$C,0))</f>
        <v>5984</v>
      </c>
      <c r="M14" t="e">
        <f>SUMIFS([2]Sheet1!$K:$K,[2]Sheet1!$B:$B,C14,[2]Sheet1!$J:$J,"Продажа")</f>
        <v>#VALUE!</v>
      </c>
      <c r="N14" t="e">
        <f>SUMIFS([2]Sheet1!$N:$N,[2]Sheet1!$B:$B,C14,[2]Sheet1!$J:$J,"Логистика",[2]Sheet1!$AC:$AC,"К клиенту при продаже")</f>
        <v>#VALUE!</v>
      </c>
    </row>
    <row r="15" spans="1:16" hidden="1" x14ac:dyDescent="0.25">
      <c r="A15" t="s">
        <v>6</v>
      </c>
      <c r="B15" t="s">
        <v>8</v>
      </c>
      <c r="C15">
        <v>12190433</v>
      </c>
      <c r="D15" t="s">
        <v>24</v>
      </c>
      <c r="E15" t="s">
        <v>141</v>
      </c>
      <c r="F15" t="s">
        <v>257</v>
      </c>
      <c r="G15">
        <f>INDEX([1]Sheet1!$D:$D,MATCH(D15,[1]Sheet1!$C:$C,0))</f>
        <v>115</v>
      </c>
      <c r="H15">
        <f>INDEX([1]Sheet1!$E:$E,MATCH(D15,[1]Sheet1!$C:$C,0))</f>
        <v>9</v>
      </c>
      <c r="I15">
        <f>INDEX([1]Sheet1!$F:$F,MATCH(D15,[1]Sheet1!$C:$C,0))</f>
        <v>3</v>
      </c>
      <c r="J15">
        <f>INDEX([1]Sheet1!$G:$G,MATCH(D15,[1]Sheet1!$C:$C,0))</f>
        <v>4488</v>
      </c>
      <c r="K15">
        <f>INDEX([1]Sheet1!$H:$H,MATCH(D15,[1]Sheet1!$C:$C,0))</f>
        <v>3</v>
      </c>
      <c r="L15">
        <f>INDEX([1]Sheet1!$I:$I,MATCH(D15,[1]Sheet1!$C:$C,0))</f>
        <v>4488</v>
      </c>
      <c r="M15" t="e">
        <f>SUMIFS([2]Sheet1!$K:$K,[2]Sheet1!$B:$B,C15,[2]Sheet1!$J:$J,"Продажа")</f>
        <v>#VALUE!</v>
      </c>
      <c r="N15" t="e">
        <f>SUMIFS([2]Sheet1!$N:$N,[2]Sheet1!$B:$B,C15,[2]Sheet1!$J:$J,"Логистика",[2]Sheet1!$AC:$AC,"К клиенту при продаже")</f>
        <v>#VALUE!</v>
      </c>
    </row>
    <row r="16" spans="1:16" hidden="1" x14ac:dyDescent="0.25">
      <c r="A16" t="s">
        <v>6</v>
      </c>
      <c r="B16" t="s">
        <v>8</v>
      </c>
      <c r="C16">
        <v>12190429</v>
      </c>
      <c r="D16" t="s">
        <v>25</v>
      </c>
      <c r="E16" t="s">
        <v>142</v>
      </c>
      <c r="F16" t="s">
        <v>258</v>
      </c>
      <c r="G16">
        <f>INDEX([1]Sheet1!$D:$D,MATCH(D16,[1]Sheet1!$C:$C,0))</f>
        <v>199</v>
      </c>
      <c r="H16">
        <f>INDEX([1]Sheet1!$E:$E,MATCH(D16,[1]Sheet1!$C:$C,0))</f>
        <v>25</v>
      </c>
      <c r="I16">
        <f>INDEX([1]Sheet1!$F:$F,MATCH(D16,[1]Sheet1!$C:$C,0))</f>
        <v>10</v>
      </c>
      <c r="J16">
        <f>INDEX([1]Sheet1!$G:$G,MATCH(D16,[1]Sheet1!$C:$C,0))</f>
        <v>14960</v>
      </c>
      <c r="K16">
        <f>INDEX([1]Sheet1!$H:$H,MATCH(D16,[1]Sheet1!$C:$C,0))</f>
        <v>9</v>
      </c>
      <c r="L16">
        <f>INDEX([1]Sheet1!$I:$I,MATCH(D16,[1]Sheet1!$C:$C,0))</f>
        <v>13464</v>
      </c>
      <c r="M16" t="e">
        <f>SUMIFS([2]Sheet1!$K:$K,[2]Sheet1!$B:$B,C16,[2]Sheet1!$J:$J,"Продажа")</f>
        <v>#VALUE!</v>
      </c>
      <c r="N16" t="e">
        <f>SUMIFS([2]Sheet1!$N:$N,[2]Sheet1!$B:$B,C16,[2]Sheet1!$J:$J,"Логистика",[2]Sheet1!$AC:$AC,"К клиенту при продаже")</f>
        <v>#VALUE!</v>
      </c>
    </row>
    <row r="17" spans="1:14" hidden="1" x14ac:dyDescent="0.25">
      <c r="A17" t="s">
        <v>6</v>
      </c>
      <c r="B17" t="s">
        <v>8</v>
      </c>
      <c r="C17">
        <v>12190436</v>
      </c>
      <c r="D17" t="s">
        <v>26</v>
      </c>
      <c r="E17" t="s">
        <v>143</v>
      </c>
      <c r="F17" t="s">
        <v>259</v>
      </c>
      <c r="G17">
        <f>INDEX([1]Sheet1!$D:$D,MATCH(D17,[1]Sheet1!$C:$C,0))</f>
        <v>658</v>
      </c>
      <c r="H17">
        <f>INDEX([1]Sheet1!$E:$E,MATCH(D17,[1]Sheet1!$C:$C,0))</f>
        <v>98</v>
      </c>
      <c r="I17">
        <f>INDEX([1]Sheet1!$F:$F,MATCH(D17,[1]Sheet1!$C:$C,0))</f>
        <v>20</v>
      </c>
      <c r="J17">
        <f>INDEX([1]Sheet1!$G:$G,MATCH(D17,[1]Sheet1!$C:$C,0))</f>
        <v>26400</v>
      </c>
      <c r="K17">
        <f>INDEX([1]Sheet1!$H:$H,MATCH(D17,[1]Sheet1!$C:$C,0))</f>
        <v>19</v>
      </c>
      <c r="L17">
        <f>INDEX([1]Sheet1!$I:$I,MATCH(D17,[1]Sheet1!$C:$C,0))</f>
        <v>25080</v>
      </c>
      <c r="M17" t="e">
        <f>SUMIFS([2]Sheet1!$K:$K,[2]Sheet1!$B:$B,C17,[2]Sheet1!$J:$J,"Продажа")</f>
        <v>#VALUE!</v>
      </c>
      <c r="N17" t="e">
        <f>SUMIFS([2]Sheet1!$N:$N,[2]Sheet1!$B:$B,C17,[2]Sheet1!$J:$J,"Логистика",[2]Sheet1!$AC:$AC,"К клиенту при продаже")</f>
        <v>#VALUE!</v>
      </c>
    </row>
    <row r="18" spans="1:14" hidden="1" x14ac:dyDescent="0.25">
      <c r="A18" t="s">
        <v>6</v>
      </c>
      <c r="B18" t="s">
        <v>8</v>
      </c>
      <c r="C18">
        <v>411504532</v>
      </c>
      <c r="D18" t="s">
        <v>27</v>
      </c>
      <c r="E18" t="s">
        <v>144</v>
      </c>
      <c r="F18" t="s">
        <v>260</v>
      </c>
      <c r="G18">
        <f>INDEX([1]Sheet1!$D:$D,MATCH(D18,[1]Sheet1!$C:$C,0))</f>
        <v>34</v>
      </c>
      <c r="H18">
        <f>INDEX([1]Sheet1!$E:$E,MATCH(D18,[1]Sheet1!$C:$C,0))</f>
        <v>0</v>
      </c>
      <c r="I18">
        <f>INDEX([1]Sheet1!$F:$F,MATCH(D18,[1]Sheet1!$C:$C,0))</f>
        <v>0</v>
      </c>
      <c r="J18">
        <f>INDEX([1]Sheet1!$G:$G,MATCH(D18,[1]Sheet1!$C:$C,0))</f>
        <v>0</v>
      </c>
      <c r="K18">
        <f>INDEX([1]Sheet1!$H:$H,MATCH(D18,[1]Sheet1!$C:$C,0))</f>
        <v>0</v>
      </c>
      <c r="L18">
        <f>INDEX([1]Sheet1!$I:$I,MATCH(D18,[1]Sheet1!$C:$C,0))</f>
        <v>0</v>
      </c>
      <c r="M18" t="e">
        <f>SUMIFS([2]Sheet1!$K:$K,[2]Sheet1!$B:$B,C18,[2]Sheet1!$J:$J,"Продажа")</f>
        <v>#VALUE!</v>
      </c>
      <c r="N18" t="e">
        <f>SUMIFS([2]Sheet1!$N:$N,[2]Sheet1!$B:$B,C18,[2]Sheet1!$J:$J,"Логистика",[2]Sheet1!$AC:$AC,"К клиенту при продаже")</f>
        <v>#VALUE!</v>
      </c>
    </row>
    <row r="19" spans="1:14" hidden="1" x14ac:dyDescent="0.25">
      <c r="A19" t="s">
        <v>6</v>
      </c>
      <c r="B19" t="s">
        <v>8</v>
      </c>
      <c r="C19">
        <v>12190442</v>
      </c>
      <c r="D19" t="s">
        <v>28</v>
      </c>
      <c r="E19" t="s">
        <v>145</v>
      </c>
      <c r="F19" t="s">
        <v>261</v>
      </c>
      <c r="G19">
        <f>INDEX([1]Sheet1!$D:$D,MATCH(D19,[1]Sheet1!$C:$C,0))</f>
        <v>87</v>
      </c>
      <c r="H19">
        <f>INDEX([1]Sheet1!$E:$E,MATCH(D19,[1]Sheet1!$C:$C,0))</f>
        <v>4</v>
      </c>
      <c r="I19">
        <f>INDEX([1]Sheet1!$F:$F,MATCH(D19,[1]Sheet1!$C:$C,0))</f>
        <v>1</v>
      </c>
      <c r="J19">
        <f>INDEX([1]Sheet1!$G:$G,MATCH(D19,[1]Sheet1!$C:$C,0))</f>
        <v>1493</v>
      </c>
      <c r="K19">
        <f>INDEX([1]Sheet1!$H:$H,MATCH(D19,[1]Sheet1!$C:$C,0))</f>
        <v>1</v>
      </c>
      <c r="L19">
        <f>INDEX([1]Sheet1!$I:$I,MATCH(D19,[1]Sheet1!$C:$C,0))</f>
        <v>1493</v>
      </c>
      <c r="M19" t="e">
        <f>SUMIFS([2]Sheet1!$K:$K,[2]Sheet1!$B:$B,C19,[2]Sheet1!$J:$J,"Продажа")</f>
        <v>#VALUE!</v>
      </c>
      <c r="N19" t="e">
        <f>SUMIFS([2]Sheet1!$N:$N,[2]Sheet1!$B:$B,C19,[2]Sheet1!$J:$J,"Логистика",[2]Sheet1!$AC:$AC,"К клиенту при продаже")</f>
        <v>#VALUE!</v>
      </c>
    </row>
    <row r="20" spans="1:14" hidden="1" x14ac:dyDescent="0.25">
      <c r="A20" t="s">
        <v>6</v>
      </c>
      <c r="B20" t="s">
        <v>8</v>
      </c>
      <c r="C20">
        <v>12190440</v>
      </c>
      <c r="D20" t="s">
        <v>29</v>
      </c>
      <c r="E20" t="s">
        <v>146</v>
      </c>
      <c r="F20" t="s">
        <v>262</v>
      </c>
      <c r="G20">
        <f>INDEX([1]Sheet1!$D:$D,MATCH(D20,[1]Sheet1!$C:$C,0))</f>
        <v>78</v>
      </c>
      <c r="H20">
        <f>INDEX([1]Sheet1!$E:$E,MATCH(D20,[1]Sheet1!$C:$C,0))</f>
        <v>4</v>
      </c>
      <c r="I20">
        <f>INDEX([1]Sheet1!$F:$F,MATCH(D20,[1]Sheet1!$C:$C,0))</f>
        <v>4</v>
      </c>
      <c r="J20">
        <f>INDEX([1]Sheet1!$G:$G,MATCH(D20,[1]Sheet1!$C:$C,0))</f>
        <v>5972</v>
      </c>
      <c r="K20">
        <f>INDEX([1]Sheet1!$H:$H,MATCH(D20,[1]Sheet1!$C:$C,0))</f>
        <v>3</v>
      </c>
      <c r="L20">
        <f>INDEX([1]Sheet1!$I:$I,MATCH(D20,[1]Sheet1!$C:$C,0))</f>
        <v>4479</v>
      </c>
      <c r="M20" t="e">
        <f>SUMIFS([2]Sheet1!$K:$K,[2]Sheet1!$B:$B,C20,[2]Sheet1!$J:$J,"Продажа")</f>
        <v>#VALUE!</v>
      </c>
      <c r="N20" t="e">
        <f>SUMIFS([2]Sheet1!$N:$N,[2]Sheet1!$B:$B,C20,[2]Sheet1!$J:$J,"Логистика",[2]Sheet1!$AC:$AC,"К клиенту при продаже")</f>
        <v>#VALUE!</v>
      </c>
    </row>
    <row r="21" spans="1:14" hidden="1" x14ac:dyDescent="0.25">
      <c r="A21" t="s">
        <v>6</v>
      </c>
      <c r="B21" t="s">
        <v>8</v>
      </c>
      <c r="C21">
        <v>12190432</v>
      </c>
      <c r="D21" t="s">
        <v>30</v>
      </c>
      <c r="E21" t="s">
        <v>147</v>
      </c>
      <c r="F21" t="s">
        <v>263</v>
      </c>
      <c r="G21">
        <f>INDEX([1]Sheet1!$D:$D,MATCH(D21,[1]Sheet1!$C:$C,0))</f>
        <v>121</v>
      </c>
      <c r="H21">
        <f>INDEX([1]Sheet1!$E:$E,MATCH(D21,[1]Sheet1!$C:$C,0))</f>
        <v>7</v>
      </c>
      <c r="I21">
        <f>INDEX([1]Sheet1!$F:$F,MATCH(D21,[1]Sheet1!$C:$C,0))</f>
        <v>1</v>
      </c>
      <c r="J21">
        <f>INDEX([1]Sheet1!$G:$G,MATCH(D21,[1]Sheet1!$C:$C,0))</f>
        <v>3200</v>
      </c>
      <c r="K21">
        <f>INDEX([1]Sheet1!$H:$H,MATCH(D21,[1]Sheet1!$C:$C,0))</f>
        <v>1</v>
      </c>
      <c r="L21">
        <f>INDEX([1]Sheet1!$I:$I,MATCH(D21,[1]Sheet1!$C:$C,0))</f>
        <v>3200</v>
      </c>
      <c r="M21" t="e">
        <f>SUMIFS([2]Sheet1!$K:$K,[2]Sheet1!$B:$B,C21,[2]Sheet1!$J:$J,"Продажа")</f>
        <v>#VALUE!</v>
      </c>
      <c r="N21" t="e">
        <f>SUMIFS([2]Sheet1!$N:$N,[2]Sheet1!$B:$B,C21,[2]Sheet1!$J:$J,"Логистика",[2]Sheet1!$AC:$AC,"К клиенту при продаже")</f>
        <v>#VALUE!</v>
      </c>
    </row>
    <row r="22" spans="1:14" hidden="1" x14ac:dyDescent="0.25">
      <c r="A22" t="s">
        <v>6</v>
      </c>
      <c r="B22" t="s">
        <v>8</v>
      </c>
      <c r="C22">
        <v>12190431</v>
      </c>
      <c r="D22" t="s">
        <v>31</v>
      </c>
      <c r="E22" t="s">
        <v>148</v>
      </c>
      <c r="F22" t="s">
        <v>264</v>
      </c>
      <c r="G22">
        <f>INDEX([1]Sheet1!$D:$D,MATCH(D22,[1]Sheet1!$C:$C,0))</f>
        <v>172</v>
      </c>
      <c r="H22">
        <f>INDEX([1]Sheet1!$E:$E,MATCH(D22,[1]Sheet1!$C:$C,0))</f>
        <v>17</v>
      </c>
      <c r="I22">
        <f>INDEX([1]Sheet1!$F:$F,MATCH(D22,[1]Sheet1!$C:$C,0))</f>
        <v>8</v>
      </c>
      <c r="J22">
        <f>INDEX([1]Sheet1!$G:$G,MATCH(D22,[1]Sheet1!$C:$C,0))</f>
        <v>11968</v>
      </c>
      <c r="K22">
        <f>INDEX([1]Sheet1!$H:$H,MATCH(D22,[1]Sheet1!$C:$C,0))</f>
        <v>6</v>
      </c>
      <c r="L22">
        <f>INDEX([1]Sheet1!$I:$I,MATCH(D22,[1]Sheet1!$C:$C,0))</f>
        <v>8976</v>
      </c>
      <c r="M22" t="e">
        <f>SUMIFS([2]Sheet1!$K:$K,[2]Sheet1!$B:$B,C22,[2]Sheet1!$J:$J,"Продажа")</f>
        <v>#VALUE!</v>
      </c>
      <c r="N22" t="e">
        <f>SUMIFS([2]Sheet1!$N:$N,[2]Sheet1!$B:$B,C22,[2]Sheet1!$J:$J,"Логистика",[2]Sheet1!$AC:$AC,"К клиенту при продаже")</f>
        <v>#VALUE!</v>
      </c>
    </row>
    <row r="23" spans="1:14" hidden="1" x14ac:dyDescent="0.25">
      <c r="A23" t="s">
        <v>6</v>
      </c>
      <c r="B23" t="s">
        <v>8</v>
      </c>
      <c r="C23">
        <v>21013816</v>
      </c>
      <c r="D23" t="s">
        <v>32</v>
      </c>
      <c r="E23" t="s">
        <v>149</v>
      </c>
      <c r="F23" t="s">
        <v>265</v>
      </c>
      <c r="G23">
        <f>INDEX([1]Sheet1!$D:$D,MATCH(D23,[1]Sheet1!$C:$C,0))</f>
        <v>89</v>
      </c>
      <c r="H23">
        <f>INDEX([1]Sheet1!$E:$E,MATCH(D23,[1]Sheet1!$C:$C,0))</f>
        <v>4</v>
      </c>
      <c r="I23">
        <f>INDEX([1]Sheet1!$F:$F,MATCH(D23,[1]Sheet1!$C:$C,0))</f>
        <v>0</v>
      </c>
      <c r="J23">
        <f>INDEX([1]Sheet1!$G:$G,MATCH(D23,[1]Sheet1!$C:$C,0))</f>
        <v>0</v>
      </c>
      <c r="K23">
        <f>INDEX([1]Sheet1!$H:$H,MATCH(D23,[1]Sheet1!$C:$C,0))</f>
        <v>0</v>
      </c>
      <c r="L23">
        <f>INDEX([1]Sheet1!$I:$I,MATCH(D23,[1]Sheet1!$C:$C,0))</f>
        <v>0</v>
      </c>
      <c r="M23" t="e">
        <f>SUMIFS([2]Sheet1!$K:$K,[2]Sheet1!$B:$B,C23,[2]Sheet1!$J:$J,"Продажа")</f>
        <v>#VALUE!</v>
      </c>
      <c r="N23" t="e">
        <f>SUMIFS([2]Sheet1!$N:$N,[2]Sheet1!$B:$B,C23,[2]Sheet1!$J:$J,"Логистика",[2]Sheet1!$AC:$AC,"К клиенту при продаже")</f>
        <v>#VALUE!</v>
      </c>
    </row>
    <row r="24" spans="1:14" hidden="1" x14ac:dyDescent="0.25">
      <c r="A24" t="s">
        <v>6</v>
      </c>
      <c r="B24" t="s">
        <v>8</v>
      </c>
      <c r="C24">
        <v>21013815</v>
      </c>
      <c r="D24" t="s">
        <v>33</v>
      </c>
      <c r="E24" t="s">
        <v>150</v>
      </c>
      <c r="F24" t="s">
        <v>266</v>
      </c>
      <c r="G24">
        <f>INDEX([1]Sheet1!$D:$D,MATCH(D24,[1]Sheet1!$C:$C,0))</f>
        <v>94</v>
      </c>
      <c r="H24">
        <f>INDEX([1]Sheet1!$E:$E,MATCH(D24,[1]Sheet1!$C:$C,0))</f>
        <v>7</v>
      </c>
      <c r="I24">
        <f>INDEX([1]Sheet1!$F:$F,MATCH(D24,[1]Sheet1!$C:$C,0))</f>
        <v>3</v>
      </c>
      <c r="J24">
        <f>INDEX([1]Sheet1!$G:$G,MATCH(D24,[1]Sheet1!$C:$C,0))</f>
        <v>4488</v>
      </c>
      <c r="K24">
        <f>INDEX([1]Sheet1!$H:$H,MATCH(D24,[1]Sheet1!$C:$C,0))</f>
        <v>2</v>
      </c>
      <c r="L24">
        <f>INDEX([1]Sheet1!$I:$I,MATCH(D24,[1]Sheet1!$C:$C,0))</f>
        <v>2992</v>
      </c>
      <c r="M24" t="e">
        <f>SUMIFS([2]Sheet1!$K:$K,[2]Sheet1!$B:$B,C24,[2]Sheet1!$J:$J,"Продажа")</f>
        <v>#VALUE!</v>
      </c>
      <c r="N24" t="e">
        <f>SUMIFS([2]Sheet1!$N:$N,[2]Sheet1!$B:$B,C24,[2]Sheet1!$J:$J,"Логистика",[2]Sheet1!$AC:$AC,"К клиенту при продаже")</f>
        <v>#VALUE!</v>
      </c>
    </row>
    <row r="25" spans="1:14" hidden="1" x14ac:dyDescent="0.25">
      <c r="A25" t="s">
        <v>6</v>
      </c>
      <c r="B25" t="s">
        <v>8</v>
      </c>
      <c r="C25">
        <v>21013821</v>
      </c>
      <c r="D25" t="s">
        <v>34</v>
      </c>
      <c r="E25" t="s">
        <v>151</v>
      </c>
      <c r="F25" t="s">
        <v>267</v>
      </c>
      <c r="G25">
        <f>INDEX([1]Sheet1!$D:$D,MATCH(D25,[1]Sheet1!$C:$C,0))</f>
        <v>308</v>
      </c>
      <c r="H25">
        <f>INDEX([1]Sheet1!$E:$E,MATCH(D25,[1]Sheet1!$C:$C,0))</f>
        <v>35</v>
      </c>
      <c r="I25">
        <f>INDEX([1]Sheet1!$F:$F,MATCH(D25,[1]Sheet1!$C:$C,0))</f>
        <v>10</v>
      </c>
      <c r="J25">
        <f>INDEX([1]Sheet1!$G:$G,MATCH(D25,[1]Sheet1!$C:$C,0))</f>
        <v>14960</v>
      </c>
      <c r="K25">
        <f>INDEX([1]Sheet1!$H:$H,MATCH(D25,[1]Sheet1!$C:$C,0))</f>
        <v>10</v>
      </c>
      <c r="L25">
        <f>INDEX([1]Sheet1!$I:$I,MATCH(D25,[1]Sheet1!$C:$C,0))</f>
        <v>14960</v>
      </c>
      <c r="M25" t="e">
        <f>SUMIFS([2]Sheet1!$K:$K,[2]Sheet1!$B:$B,C25,[2]Sheet1!$J:$J,"Продажа")</f>
        <v>#VALUE!</v>
      </c>
      <c r="N25" t="e">
        <f>SUMIFS([2]Sheet1!$N:$N,[2]Sheet1!$B:$B,C25,[2]Sheet1!$J:$J,"Логистика",[2]Sheet1!$AC:$AC,"К клиенту при продаже")</f>
        <v>#VALUE!</v>
      </c>
    </row>
    <row r="26" spans="1:14" hidden="1" x14ac:dyDescent="0.25">
      <c r="A26" t="s">
        <v>6</v>
      </c>
      <c r="B26" t="s">
        <v>8</v>
      </c>
      <c r="C26">
        <v>21013820</v>
      </c>
      <c r="D26" t="s">
        <v>35</v>
      </c>
      <c r="E26" t="s">
        <v>152</v>
      </c>
      <c r="F26" t="s">
        <v>268</v>
      </c>
      <c r="G26">
        <f>INDEX([1]Sheet1!$D:$D,MATCH(D26,[1]Sheet1!$C:$C,0))</f>
        <v>111</v>
      </c>
      <c r="H26">
        <f>INDEX([1]Sheet1!$E:$E,MATCH(D26,[1]Sheet1!$C:$C,0))</f>
        <v>4</v>
      </c>
      <c r="I26">
        <f>INDEX([1]Sheet1!$F:$F,MATCH(D26,[1]Sheet1!$C:$C,0))</f>
        <v>0</v>
      </c>
      <c r="J26">
        <f>INDEX([1]Sheet1!$G:$G,MATCH(D26,[1]Sheet1!$C:$C,0))</f>
        <v>0</v>
      </c>
      <c r="K26">
        <f>INDEX([1]Sheet1!$H:$H,MATCH(D26,[1]Sheet1!$C:$C,0))</f>
        <v>0</v>
      </c>
      <c r="L26">
        <f>INDEX([1]Sheet1!$I:$I,MATCH(D26,[1]Sheet1!$C:$C,0))</f>
        <v>0</v>
      </c>
      <c r="M26" t="e">
        <f>SUMIFS([2]Sheet1!$K:$K,[2]Sheet1!$B:$B,C26,[2]Sheet1!$J:$J,"Продажа")</f>
        <v>#VALUE!</v>
      </c>
      <c r="N26" t="e">
        <f>SUMIFS([2]Sheet1!$N:$N,[2]Sheet1!$B:$B,C26,[2]Sheet1!$J:$J,"Логистика",[2]Sheet1!$AC:$AC,"К клиенту при продаже")</f>
        <v>#VALUE!</v>
      </c>
    </row>
    <row r="27" spans="1:14" hidden="1" x14ac:dyDescent="0.25">
      <c r="A27" t="s">
        <v>6</v>
      </c>
      <c r="B27" t="s">
        <v>8</v>
      </c>
      <c r="C27">
        <v>21013819</v>
      </c>
      <c r="D27" t="s">
        <v>36</v>
      </c>
      <c r="E27" t="s">
        <v>153</v>
      </c>
      <c r="F27" t="s">
        <v>269</v>
      </c>
      <c r="G27">
        <f>INDEX([1]Sheet1!$D:$D,MATCH(D27,[1]Sheet1!$C:$C,0))</f>
        <v>101</v>
      </c>
      <c r="H27">
        <f>INDEX([1]Sheet1!$E:$E,MATCH(D27,[1]Sheet1!$C:$C,0))</f>
        <v>6</v>
      </c>
      <c r="I27">
        <f>INDEX([1]Sheet1!$F:$F,MATCH(D27,[1]Sheet1!$C:$C,0))</f>
        <v>2</v>
      </c>
      <c r="J27">
        <f>INDEX([1]Sheet1!$G:$G,MATCH(D27,[1]Sheet1!$C:$C,0))</f>
        <v>2930</v>
      </c>
      <c r="K27">
        <f>INDEX([1]Sheet1!$H:$H,MATCH(D27,[1]Sheet1!$C:$C,0))</f>
        <v>2</v>
      </c>
      <c r="L27">
        <f>INDEX([1]Sheet1!$I:$I,MATCH(D27,[1]Sheet1!$C:$C,0))</f>
        <v>2930</v>
      </c>
      <c r="M27" t="e">
        <f>SUMIFS([2]Sheet1!$K:$K,[2]Sheet1!$B:$B,C27,[2]Sheet1!$J:$J,"Продажа")</f>
        <v>#VALUE!</v>
      </c>
      <c r="N27" t="e">
        <f>SUMIFS([2]Sheet1!$N:$N,[2]Sheet1!$B:$B,C27,[2]Sheet1!$J:$J,"Логистика",[2]Sheet1!$AC:$AC,"К клиенту при продаже")</f>
        <v>#VALUE!</v>
      </c>
    </row>
    <row r="28" spans="1:14" hidden="1" x14ac:dyDescent="0.25">
      <c r="A28" t="s">
        <v>6</v>
      </c>
      <c r="B28" t="s">
        <v>8</v>
      </c>
      <c r="C28">
        <v>21013818</v>
      </c>
      <c r="D28" t="s">
        <v>37</v>
      </c>
      <c r="E28" t="s">
        <v>154</v>
      </c>
      <c r="F28" t="s">
        <v>270</v>
      </c>
      <c r="G28">
        <f>INDEX([1]Sheet1!$D:$D,MATCH(D28,[1]Sheet1!$C:$C,0))</f>
        <v>99</v>
      </c>
      <c r="H28">
        <f>INDEX([1]Sheet1!$E:$E,MATCH(D28,[1]Sheet1!$C:$C,0))</f>
        <v>8</v>
      </c>
      <c r="I28">
        <f>INDEX([1]Sheet1!$F:$F,MATCH(D28,[1]Sheet1!$C:$C,0))</f>
        <v>1</v>
      </c>
      <c r="J28">
        <f>INDEX([1]Sheet1!$G:$G,MATCH(D28,[1]Sheet1!$C:$C,0))</f>
        <v>1465</v>
      </c>
      <c r="K28">
        <f>INDEX([1]Sheet1!$H:$H,MATCH(D28,[1]Sheet1!$C:$C,0))</f>
        <v>1</v>
      </c>
      <c r="L28">
        <f>INDEX([1]Sheet1!$I:$I,MATCH(D28,[1]Sheet1!$C:$C,0))</f>
        <v>1465</v>
      </c>
      <c r="M28" t="e">
        <f>SUMIFS([2]Sheet1!$K:$K,[2]Sheet1!$B:$B,C28,[2]Sheet1!$J:$J,"Продажа")</f>
        <v>#VALUE!</v>
      </c>
      <c r="N28" t="e">
        <f>SUMIFS([2]Sheet1!$N:$N,[2]Sheet1!$B:$B,C28,[2]Sheet1!$J:$J,"Логистика",[2]Sheet1!$AC:$AC,"К клиенту при продаже")</f>
        <v>#VALUE!</v>
      </c>
    </row>
    <row r="29" spans="1:14" hidden="1" x14ac:dyDescent="0.25">
      <c r="A29" t="s">
        <v>6</v>
      </c>
      <c r="B29" t="s">
        <v>8</v>
      </c>
      <c r="C29">
        <v>21013817</v>
      </c>
      <c r="D29" t="s">
        <v>38</v>
      </c>
      <c r="E29" t="s">
        <v>155</v>
      </c>
      <c r="F29" t="s">
        <v>271</v>
      </c>
      <c r="G29">
        <f>INDEX([1]Sheet1!$D:$D,MATCH(D29,[1]Sheet1!$C:$C,0))</f>
        <v>177</v>
      </c>
      <c r="H29">
        <f>INDEX([1]Sheet1!$E:$E,MATCH(D29,[1]Sheet1!$C:$C,0))</f>
        <v>15</v>
      </c>
      <c r="I29">
        <f>INDEX([1]Sheet1!$F:$F,MATCH(D29,[1]Sheet1!$C:$C,0))</f>
        <v>6</v>
      </c>
      <c r="J29">
        <f>INDEX([1]Sheet1!$G:$G,MATCH(D29,[1]Sheet1!$C:$C,0))</f>
        <v>8976</v>
      </c>
      <c r="K29">
        <f>INDEX([1]Sheet1!$H:$H,MATCH(D29,[1]Sheet1!$C:$C,0))</f>
        <v>6</v>
      </c>
      <c r="L29">
        <f>INDEX([1]Sheet1!$I:$I,MATCH(D29,[1]Sheet1!$C:$C,0))</f>
        <v>8976</v>
      </c>
      <c r="M29" t="e">
        <f>SUMIFS([2]Sheet1!$K:$K,[2]Sheet1!$B:$B,C29,[2]Sheet1!$J:$J,"Продажа")</f>
        <v>#VALUE!</v>
      </c>
      <c r="N29" t="e">
        <f>SUMIFS([2]Sheet1!$N:$N,[2]Sheet1!$B:$B,C29,[2]Sheet1!$J:$J,"Логистика",[2]Sheet1!$AC:$AC,"К клиенту при продаже")</f>
        <v>#VALUE!</v>
      </c>
    </row>
    <row r="30" spans="1:14" hidden="1" x14ac:dyDescent="0.25">
      <c r="A30" t="s">
        <v>6</v>
      </c>
      <c r="B30" t="s">
        <v>8</v>
      </c>
      <c r="C30">
        <v>416973739</v>
      </c>
      <c r="D30" t="s">
        <v>39</v>
      </c>
      <c r="E30" t="s">
        <v>156</v>
      </c>
      <c r="F30" t="s">
        <v>272</v>
      </c>
      <c r="G30">
        <f>INDEX([1]Sheet1!$D:$D,MATCH(D30,[1]Sheet1!$C:$C,0))</f>
        <v>169</v>
      </c>
      <c r="H30">
        <f>INDEX([1]Sheet1!$E:$E,MATCH(D30,[1]Sheet1!$C:$C,0))</f>
        <v>10</v>
      </c>
      <c r="I30">
        <f>INDEX([1]Sheet1!$F:$F,MATCH(D30,[1]Sheet1!$C:$C,0))</f>
        <v>0</v>
      </c>
      <c r="J30">
        <f>INDEX([1]Sheet1!$G:$G,MATCH(D30,[1]Sheet1!$C:$C,0))</f>
        <v>0</v>
      </c>
      <c r="K30">
        <f>INDEX([1]Sheet1!$H:$H,MATCH(D30,[1]Sheet1!$C:$C,0))</f>
        <v>0</v>
      </c>
      <c r="L30">
        <f>INDEX([1]Sheet1!$I:$I,MATCH(D30,[1]Sheet1!$C:$C,0))</f>
        <v>0</v>
      </c>
      <c r="M30" t="e">
        <f>SUMIFS([2]Sheet1!$K:$K,[2]Sheet1!$B:$B,C30,[2]Sheet1!$J:$J,"Продажа")</f>
        <v>#VALUE!</v>
      </c>
      <c r="N30" t="e">
        <f>SUMIFS([2]Sheet1!$N:$N,[2]Sheet1!$B:$B,C30,[2]Sheet1!$J:$J,"Логистика",[2]Sheet1!$AC:$AC,"К клиенту при продаже")</f>
        <v>#VALUE!</v>
      </c>
    </row>
    <row r="31" spans="1:14" hidden="1" x14ac:dyDescent="0.25">
      <c r="A31" t="s">
        <v>6</v>
      </c>
      <c r="B31" t="s">
        <v>8</v>
      </c>
      <c r="C31">
        <v>415571650</v>
      </c>
      <c r="D31" t="s">
        <v>40</v>
      </c>
      <c r="E31" t="s">
        <v>157</v>
      </c>
      <c r="F31" t="s">
        <v>273</v>
      </c>
      <c r="G31">
        <f>INDEX([1]Sheet1!$D:$D,MATCH(D31,[1]Sheet1!$C:$C,0))</f>
        <v>170</v>
      </c>
      <c r="H31">
        <f>INDEX([1]Sheet1!$E:$E,MATCH(D31,[1]Sheet1!$C:$C,0))</f>
        <v>7</v>
      </c>
      <c r="I31">
        <f>INDEX([1]Sheet1!$F:$F,MATCH(D31,[1]Sheet1!$C:$C,0))</f>
        <v>2</v>
      </c>
      <c r="J31">
        <f>INDEX([1]Sheet1!$G:$G,MATCH(D31,[1]Sheet1!$C:$C,0))</f>
        <v>1640</v>
      </c>
      <c r="K31">
        <f>INDEX([1]Sheet1!$H:$H,MATCH(D31,[1]Sheet1!$C:$C,0))</f>
        <v>2</v>
      </c>
      <c r="L31">
        <f>INDEX([1]Sheet1!$I:$I,MATCH(D31,[1]Sheet1!$C:$C,0))</f>
        <v>1640</v>
      </c>
      <c r="M31" t="e">
        <f>SUMIFS([2]Sheet1!$K:$K,[2]Sheet1!$B:$B,C31,[2]Sheet1!$J:$J,"Продажа")</f>
        <v>#VALUE!</v>
      </c>
      <c r="N31" t="e">
        <f>SUMIFS([2]Sheet1!$N:$N,[2]Sheet1!$B:$B,C31,[2]Sheet1!$J:$J,"Логистика",[2]Sheet1!$AC:$AC,"К клиенту при продаже")</f>
        <v>#VALUE!</v>
      </c>
    </row>
    <row r="32" spans="1:14" hidden="1" x14ac:dyDescent="0.25">
      <c r="A32" t="s">
        <v>6</v>
      </c>
      <c r="B32" t="s">
        <v>8</v>
      </c>
      <c r="C32">
        <v>415498429</v>
      </c>
      <c r="D32" t="s">
        <v>41</v>
      </c>
      <c r="E32" t="s">
        <v>158</v>
      </c>
      <c r="F32" t="s">
        <v>274</v>
      </c>
      <c r="G32">
        <f>INDEX([1]Sheet1!$D:$D,MATCH(D32,[1]Sheet1!$C:$C,0))</f>
        <v>182</v>
      </c>
      <c r="H32">
        <f>INDEX([1]Sheet1!$E:$E,MATCH(D32,[1]Sheet1!$C:$C,0))</f>
        <v>16</v>
      </c>
      <c r="I32">
        <f>INDEX([1]Sheet1!$F:$F,MATCH(D32,[1]Sheet1!$C:$C,0))</f>
        <v>1</v>
      </c>
      <c r="J32">
        <f>INDEX([1]Sheet1!$G:$G,MATCH(D32,[1]Sheet1!$C:$C,0))</f>
        <v>820</v>
      </c>
      <c r="K32">
        <f>INDEX([1]Sheet1!$H:$H,MATCH(D32,[1]Sheet1!$C:$C,0))</f>
        <v>1</v>
      </c>
      <c r="L32">
        <f>INDEX([1]Sheet1!$I:$I,MATCH(D32,[1]Sheet1!$C:$C,0))</f>
        <v>820</v>
      </c>
      <c r="M32" t="e">
        <f>SUMIFS([2]Sheet1!$K:$K,[2]Sheet1!$B:$B,C32,[2]Sheet1!$J:$J,"Продажа")</f>
        <v>#VALUE!</v>
      </c>
      <c r="N32" t="e">
        <f>SUMIFS([2]Sheet1!$N:$N,[2]Sheet1!$B:$B,C32,[2]Sheet1!$J:$J,"Логистика",[2]Sheet1!$AC:$AC,"К клиенту при продаже")</f>
        <v>#VALUE!</v>
      </c>
    </row>
    <row r="33" spans="1:14" hidden="1" x14ac:dyDescent="0.25">
      <c r="A33" t="s">
        <v>6</v>
      </c>
      <c r="B33" t="s">
        <v>8</v>
      </c>
      <c r="C33">
        <v>415555134</v>
      </c>
      <c r="D33" t="s">
        <v>42</v>
      </c>
      <c r="E33" t="s">
        <v>159</v>
      </c>
      <c r="F33" t="s">
        <v>275</v>
      </c>
      <c r="G33">
        <f>INDEX([1]Sheet1!$D:$D,MATCH(D33,[1]Sheet1!$C:$C,0))</f>
        <v>327</v>
      </c>
      <c r="H33">
        <f>INDEX([1]Sheet1!$E:$E,MATCH(D33,[1]Sheet1!$C:$C,0))</f>
        <v>63</v>
      </c>
      <c r="I33">
        <f>INDEX([1]Sheet1!$F:$F,MATCH(D33,[1]Sheet1!$C:$C,0))</f>
        <v>10</v>
      </c>
      <c r="J33">
        <f>INDEX([1]Sheet1!$G:$G,MATCH(D33,[1]Sheet1!$C:$C,0))</f>
        <v>8200</v>
      </c>
      <c r="K33">
        <f>INDEX([1]Sheet1!$H:$H,MATCH(D33,[1]Sheet1!$C:$C,0))</f>
        <v>9</v>
      </c>
      <c r="L33">
        <f>INDEX([1]Sheet1!$I:$I,MATCH(D33,[1]Sheet1!$C:$C,0))</f>
        <v>7380</v>
      </c>
      <c r="M33" t="e">
        <f>SUMIFS([2]Sheet1!$K:$K,[2]Sheet1!$B:$B,C33,[2]Sheet1!$J:$J,"Продажа")</f>
        <v>#VALUE!</v>
      </c>
      <c r="N33" t="e">
        <f>SUMIFS([2]Sheet1!$N:$N,[2]Sheet1!$B:$B,C33,[2]Sheet1!$J:$J,"Логистика",[2]Sheet1!$AC:$AC,"К клиенту при продаже")</f>
        <v>#VALUE!</v>
      </c>
    </row>
    <row r="34" spans="1:14" hidden="1" x14ac:dyDescent="0.25">
      <c r="A34" t="s">
        <v>6</v>
      </c>
      <c r="B34" t="s">
        <v>8</v>
      </c>
      <c r="C34">
        <v>415525896</v>
      </c>
      <c r="D34" t="s">
        <v>43</v>
      </c>
      <c r="E34" t="s">
        <v>160</v>
      </c>
      <c r="F34" t="s">
        <v>276</v>
      </c>
      <c r="G34">
        <f>INDEX([1]Sheet1!$D:$D,MATCH(D34,[1]Sheet1!$C:$C,0))</f>
        <v>248</v>
      </c>
      <c r="H34">
        <f>INDEX([1]Sheet1!$E:$E,MATCH(D34,[1]Sheet1!$C:$C,0))</f>
        <v>27</v>
      </c>
      <c r="I34">
        <f>INDEX([1]Sheet1!$F:$F,MATCH(D34,[1]Sheet1!$C:$C,0))</f>
        <v>5</v>
      </c>
      <c r="J34">
        <f>INDEX([1]Sheet1!$G:$G,MATCH(D34,[1]Sheet1!$C:$C,0))</f>
        <v>4100</v>
      </c>
      <c r="K34">
        <f>INDEX([1]Sheet1!$H:$H,MATCH(D34,[1]Sheet1!$C:$C,0))</f>
        <v>3</v>
      </c>
      <c r="L34">
        <f>INDEX([1]Sheet1!$I:$I,MATCH(D34,[1]Sheet1!$C:$C,0))</f>
        <v>2460</v>
      </c>
      <c r="M34" t="e">
        <f>SUMIFS([2]Sheet1!$K:$K,[2]Sheet1!$B:$B,C34,[2]Sheet1!$J:$J,"Продажа")</f>
        <v>#VALUE!</v>
      </c>
      <c r="N34" t="e">
        <f>SUMIFS([2]Sheet1!$N:$N,[2]Sheet1!$B:$B,C34,[2]Sheet1!$J:$J,"Логистика",[2]Sheet1!$AC:$AC,"К клиенту при продаже")</f>
        <v>#VALUE!</v>
      </c>
    </row>
    <row r="35" spans="1:14" hidden="1" x14ac:dyDescent="0.25">
      <c r="A35" t="s">
        <v>6</v>
      </c>
      <c r="B35" t="s">
        <v>8</v>
      </c>
      <c r="C35">
        <v>415453606</v>
      </c>
      <c r="D35" t="s">
        <v>44</v>
      </c>
      <c r="E35" t="s">
        <v>161</v>
      </c>
      <c r="F35" t="s">
        <v>277</v>
      </c>
      <c r="G35">
        <f>INDEX([1]Sheet1!$D:$D,MATCH(D35,[1]Sheet1!$C:$C,0))</f>
        <v>242</v>
      </c>
      <c r="H35">
        <f>INDEX([1]Sheet1!$E:$E,MATCH(D35,[1]Sheet1!$C:$C,0))</f>
        <v>37</v>
      </c>
      <c r="I35">
        <f>INDEX([1]Sheet1!$F:$F,MATCH(D35,[1]Sheet1!$C:$C,0))</f>
        <v>5</v>
      </c>
      <c r="J35">
        <f>INDEX([1]Sheet1!$G:$G,MATCH(D35,[1]Sheet1!$C:$C,0))</f>
        <v>4100</v>
      </c>
      <c r="K35">
        <f>INDEX([1]Sheet1!$H:$H,MATCH(D35,[1]Sheet1!$C:$C,0))</f>
        <v>5</v>
      </c>
      <c r="L35">
        <f>INDEX([1]Sheet1!$I:$I,MATCH(D35,[1]Sheet1!$C:$C,0))</f>
        <v>4100</v>
      </c>
      <c r="M35" t="e">
        <f>SUMIFS([2]Sheet1!$K:$K,[2]Sheet1!$B:$B,C35,[2]Sheet1!$J:$J,"Продажа")</f>
        <v>#VALUE!</v>
      </c>
      <c r="N35" t="e">
        <f>SUMIFS([2]Sheet1!$N:$N,[2]Sheet1!$B:$B,C35,[2]Sheet1!$J:$J,"Логистика",[2]Sheet1!$AC:$AC,"К клиенту при продаже")</f>
        <v>#VALUE!</v>
      </c>
    </row>
    <row r="36" spans="1:14" hidden="1" x14ac:dyDescent="0.25">
      <c r="A36" t="s">
        <v>6</v>
      </c>
      <c r="B36" t="s">
        <v>8</v>
      </c>
      <c r="C36">
        <v>397338265</v>
      </c>
      <c r="D36" t="s">
        <v>45</v>
      </c>
      <c r="E36" t="s">
        <v>162</v>
      </c>
      <c r="F36" t="s">
        <v>278</v>
      </c>
      <c r="G36">
        <f>INDEX([1]Sheet1!$D:$D,MATCH(D36,[1]Sheet1!$C:$C,0))</f>
        <v>18</v>
      </c>
      <c r="H36">
        <f>INDEX([1]Sheet1!$E:$E,MATCH(D36,[1]Sheet1!$C:$C,0))</f>
        <v>0</v>
      </c>
      <c r="I36">
        <f>INDEX([1]Sheet1!$F:$F,MATCH(D36,[1]Sheet1!$C:$C,0))</f>
        <v>0</v>
      </c>
      <c r="J36">
        <f>INDEX([1]Sheet1!$G:$G,MATCH(D36,[1]Sheet1!$C:$C,0))</f>
        <v>0</v>
      </c>
      <c r="K36">
        <f>INDEX([1]Sheet1!$H:$H,MATCH(D36,[1]Sheet1!$C:$C,0))</f>
        <v>0</v>
      </c>
      <c r="L36">
        <f>INDEX([1]Sheet1!$I:$I,MATCH(D36,[1]Sheet1!$C:$C,0))</f>
        <v>0</v>
      </c>
      <c r="M36" t="e">
        <f>SUMIFS([2]Sheet1!$K:$K,[2]Sheet1!$B:$B,C36,[2]Sheet1!$J:$J,"Продажа")</f>
        <v>#VALUE!</v>
      </c>
      <c r="N36" t="e">
        <f>SUMIFS([2]Sheet1!$N:$N,[2]Sheet1!$B:$B,C36,[2]Sheet1!$J:$J,"Логистика",[2]Sheet1!$AC:$AC,"К клиенту при продаже")</f>
        <v>#VALUE!</v>
      </c>
    </row>
    <row r="37" spans="1:14" hidden="1" x14ac:dyDescent="0.25">
      <c r="A37" t="s">
        <v>6</v>
      </c>
      <c r="B37" t="s">
        <v>8</v>
      </c>
      <c r="C37">
        <v>397261468</v>
      </c>
      <c r="D37" t="s">
        <v>46</v>
      </c>
      <c r="E37" t="s">
        <v>163</v>
      </c>
      <c r="F37" t="s">
        <v>279</v>
      </c>
      <c r="G37">
        <f>INDEX([1]Sheet1!$D:$D,MATCH(D37,[1]Sheet1!$C:$C,0))</f>
        <v>17</v>
      </c>
      <c r="H37">
        <f>INDEX([1]Sheet1!$E:$E,MATCH(D37,[1]Sheet1!$C:$C,0))</f>
        <v>2</v>
      </c>
      <c r="I37">
        <f>INDEX([1]Sheet1!$F:$F,MATCH(D37,[1]Sheet1!$C:$C,0))</f>
        <v>0</v>
      </c>
      <c r="J37">
        <f>INDEX([1]Sheet1!$G:$G,MATCH(D37,[1]Sheet1!$C:$C,0))</f>
        <v>0</v>
      </c>
      <c r="K37">
        <f>INDEX([1]Sheet1!$H:$H,MATCH(D37,[1]Sheet1!$C:$C,0))</f>
        <v>0</v>
      </c>
      <c r="L37">
        <f>INDEX([1]Sheet1!$I:$I,MATCH(D37,[1]Sheet1!$C:$C,0))</f>
        <v>0</v>
      </c>
      <c r="M37" t="e">
        <f>SUMIFS([2]Sheet1!$K:$K,[2]Sheet1!$B:$B,C37,[2]Sheet1!$J:$J,"Продажа")</f>
        <v>#VALUE!</v>
      </c>
      <c r="N37" t="e">
        <f>SUMIFS([2]Sheet1!$N:$N,[2]Sheet1!$B:$B,C37,[2]Sheet1!$J:$J,"Логистика",[2]Sheet1!$AC:$AC,"К клиенту при продаже")</f>
        <v>#VALUE!</v>
      </c>
    </row>
    <row r="38" spans="1:14" hidden="1" x14ac:dyDescent="0.25">
      <c r="A38" t="s">
        <v>6</v>
      </c>
      <c r="B38" t="s">
        <v>8</v>
      </c>
      <c r="C38">
        <v>397279139</v>
      </c>
      <c r="D38" t="s">
        <v>47</v>
      </c>
      <c r="E38" t="s">
        <v>164</v>
      </c>
      <c r="F38" t="s">
        <v>280</v>
      </c>
      <c r="G38">
        <f>INDEX([1]Sheet1!$D:$D,MATCH(D38,[1]Sheet1!$C:$C,0))</f>
        <v>12</v>
      </c>
      <c r="H38">
        <f>INDEX([1]Sheet1!$E:$E,MATCH(D38,[1]Sheet1!$C:$C,0))</f>
        <v>1</v>
      </c>
      <c r="I38">
        <f>INDEX([1]Sheet1!$F:$F,MATCH(D38,[1]Sheet1!$C:$C,0))</f>
        <v>1</v>
      </c>
      <c r="J38">
        <f>INDEX([1]Sheet1!$G:$G,MATCH(D38,[1]Sheet1!$C:$C,0))</f>
        <v>3168</v>
      </c>
      <c r="K38">
        <f>INDEX([1]Sheet1!$H:$H,MATCH(D38,[1]Sheet1!$C:$C,0))</f>
        <v>1</v>
      </c>
      <c r="L38">
        <f>INDEX([1]Sheet1!$I:$I,MATCH(D38,[1]Sheet1!$C:$C,0))</f>
        <v>3168</v>
      </c>
      <c r="M38" t="e">
        <f>SUMIFS([2]Sheet1!$K:$K,[2]Sheet1!$B:$B,C38,[2]Sheet1!$J:$J,"Продажа")</f>
        <v>#VALUE!</v>
      </c>
      <c r="N38" t="e">
        <f>SUMIFS([2]Sheet1!$N:$N,[2]Sheet1!$B:$B,C38,[2]Sheet1!$J:$J,"Логистика",[2]Sheet1!$AC:$AC,"К клиенту при продаже")</f>
        <v>#VALUE!</v>
      </c>
    </row>
    <row r="39" spans="1:14" hidden="1" x14ac:dyDescent="0.25">
      <c r="A39" t="s">
        <v>6</v>
      </c>
      <c r="B39" t="s">
        <v>8</v>
      </c>
      <c r="C39">
        <v>411365420</v>
      </c>
      <c r="D39" t="s">
        <v>48</v>
      </c>
      <c r="E39" t="s">
        <v>165</v>
      </c>
      <c r="F39" t="s">
        <v>281</v>
      </c>
      <c r="G39">
        <f>INDEX([1]Sheet1!$D:$D,MATCH(D39,[1]Sheet1!$C:$C,0))</f>
        <v>28</v>
      </c>
      <c r="H39">
        <f>INDEX([1]Sheet1!$E:$E,MATCH(D39,[1]Sheet1!$C:$C,0))</f>
        <v>2</v>
      </c>
      <c r="I39">
        <f>INDEX([1]Sheet1!$F:$F,MATCH(D39,[1]Sheet1!$C:$C,0))</f>
        <v>1</v>
      </c>
      <c r="J39">
        <f>INDEX([1]Sheet1!$G:$G,MATCH(D39,[1]Sheet1!$C:$C,0))</f>
        <v>2640</v>
      </c>
      <c r="K39">
        <f>INDEX([1]Sheet1!$H:$H,MATCH(D39,[1]Sheet1!$C:$C,0))</f>
        <v>1</v>
      </c>
      <c r="L39">
        <f>INDEX([1]Sheet1!$I:$I,MATCH(D39,[1]Sheet1!$C:$C,0))</f>
        <v>2640</v>
      </c>
      <c r="M39" t="e">
        <f>SUMIFS([2]Sheet1!$K:$K,[2]Sheet1!$B:$B,C39,[2]Sheet1!$J:$J,"Продажа")</f>
        <v>#VALUE!</v>
      </c>
      <c r="N39" t="e">
        <f>SUMIFS([2]Sheet1!$N:$N,[2]Sheet1!$B:$B,C39,[2]Sheet1!$J:$J,"Логистика",[2]Sheet1!$AC:$AC,"К клиенту при продаже")</f>
        <v>#VALUE!</v>
      </c>
    </row>
    <row r="40" spans="1:14" hidden="1" x14ac:dyDescent="0.25">
      <c r="A40" t="s">
        <v>6</v>
      </c>
      <c r="B40" t="s">
        <v>8</v>
      </c>
      <c r="C40">
        <v>397270208</v>
      </c>
      <c r="D40" t="s">
        <v>49</v>
      </c>
      <c r="E40" t="s">
        <v>166</v>
      </c>
      <c r="F40" t="s">
        <v>282</v>
      </c>
      <c r="G40">
        <f>INDEX([1]Sheet1!$D:$D,MATCH(D40,[1]Sheet1!$C:$C,0))</f>
        <v>19</v>
      </c>
      <c r="H40">
        <f>INDEX([1]Sheet1!$E:$E,MATCH(D40,[1]Sheet1!$C:$C,0))</f>
        <v>0</v>
      </c>
      <c r="I40">
        <f>INDEX([1]Sheet1!$F:$F,MATCH(D40,[1]Sheet1!$C:$C,0))</f>
        <v>0</v>
      </c>
      <c r="J40">
        <f>INDEX([1]Sheet1!$G:$G,MATCH(D40,[1]Sheet1!$C:$C,0))</f>
        <v>0</v>
      </c>
      <c r="K40">
        <f>INDEX([1]Sheet1!$H:$H,MATCH(D40,[1]Sheet1!$C:$C,0))</f>
        <v>0</v>
      </c>
      <c r="L40">
        <f>INDEX([1]Sheet1!$I:$I,MATCH(D40,[1]Sheet1!$C:$C,0))</f>
        <v>0</v>
      </c>
      <c r="M40" t="e">
        <f>SUMIFS([2]Sheet1!$K:$K,[2]Sheet1!$B:$B,C40,[2]Sheet1!$J:$J,"Продажа")</f>
        <v>#VALUE!</v>
      </c>
      <c r="N40" t="e">
        <f>SUMIFS([2]Sheet1!$N:$N,[2]Sheet1!$B:$B,C40,[2]Sheet1!$J:$J,"Логистика",[2]Sheet1!$AC:$AC,"К клиенту при продаже")</f>
        <v>#VALUE!</v>
      </c>
    </row>
    <row r="41" spans="1:14" hidden="1" x14ac:dyDescent="0.25">
      <c r="A41" t="s">
        <v>6</v>
      </c>
      <c r="B41" t="s">
        <v>8</v>
      </c>
      <c r="C41">
        <v>12645293</v>
      </c>
      <c r="D41" t="s">
        <v>50</v>
      </c>
      <c r="E41" t="s">
        <v>167</v>
      </c>
      <c r="F41" t="s">
        <v>283</v>
      </c>
      <c r="G41">
        <f>INDEX([1]Sheet1!$D:$D,MATCH(D41,[1]Sheet1!$C:$C,0))</f>
        <v>38</v>
      </c>
      <c r="H41">
        <f>INDEX([1]Sheet1!$E:$E,MATCH(D41,[1]Sheet1!$C:$C,0))</f>
        <v>4</v>
      </c>
      <c r="I41">
        <f>INDEX([1]Sheet1!$F:$F,MATCH(D41,[1]Sheet1!$C:$C,0))</f>
        <v>0</v>
      </c>
      <c r="J41">
        <f>INDEX([1]Sheet1!$G:$G,MATCH(D41,[1]Sheet1!$C:$C,0))</f>
        <v>0</v>
      </c>
      <c r="K41">
        <f>INDEX([1]Sheet1!$H:$H,MATCH(D41,[1]Sheet1!$C:$C,0))</f>
        <v>0</v>
      </c>
      <c r="L41">
        <f>INDEX([1]Sheet1!$I:$I,MATCH(D41,[1]Sheet1!$C:$C,0))</f>
        <v>0</v>
      </c>
      <c r="M41" t="e">
        <f>SUMIFS([2]Sheet1!$K:$K,[2]Sheet1!$B:$B,C41,[2]Sheet1!$J:$J,"Продажа")</f>
        <v>#VALUE!</v>
      </c>
      <c r="N41" t="e">
        <f>SUMIFS([2]Sheet1!$N:$N,[2]Sheet1!$B:$B,C41,[2]Sheet1!$J:$J,"Логистика",[2]Sheet1!$AC:$AC,"К клиенту при продаже")</f>
        <v>#VALUE!</v>
      </c>
    </row>
    <row r="42" spans="1:14" hidden="1" x14ac:dyDescent="0.25">
      <c r="A42" t="s">
        <v>6</v>
      </c>
      <c r="B42" t="s">
        <v>8</v>
      </c>
      <c r="C42">
        <v>38680837</v>
      </c>
      <c r="D42" t="s">
        <v>51</v>
      </c>
      <c r="E42" t="s">
        <v>168</v>
      </c>
      <c r="F42" t="s">
        <v>284</v>
      </c>
      <c r="G42">
        <f>INDEX([1]Sheet1!$D:$D,MATCH(D42,[1]Sheet1!$C:$C,0))</f>
        <v>51</v>
      </c>
      <c r="H42">
        <f>INDEX([1]Sheet1!$E:$E,MATCH(D42,[1]Sheet1!$C:$C,0))</f>
        <v>3</v>
      </c>
      <c r="I42">
        <f>INDEX([1]Sheet1!$F:$F,MATCH(D42,[1]Sheet1!$C:$C,0))</f>
        <v>1</v>
      </c>
      <c r="J42">
        <f>INDEX([1]Sheet1!$G:$G,MATCH(D42,[1]Sheet1!$C:$C,0))</f>
        <v>1537</v>
      </c>
      <c r="K42">
        <f>INDEX([1]Sheet1!$H:$H,MATCH(D42,[1]Sheet1!$C:$C,0))</f>
        <v>1</v>
      </c>
      <c r="L42">
        <f>INDEX([1]Sheet1!$I:$I,MATCH(D42,[1]Sheet1!$C:$C,0))</f>
        <v>1537</v>
      </c>
      <c r="M42" t="e">
        <f>SUMIFS([2]Sheet1!$K:$K,[2]Sheet1!$B:$B,C42,[2]Sheet1!$J:$J,"Продажа")</f>
        <v>#VALUE!</v>
      </c>
      <c r="N42" t="e">
        <f>SUMIFS([2]Sheet1!$N:$N,[2]Sheet1!$B:$B,C42,[2]Sheet1!$J:$J,"Логистика",[2]Sheet1!$AC:$AC,"К клиенту при продаже")</f>
        <v>#VALUE!</v>
      </c>
    </row>
    <row r="43" spans="1:14" hidden="1" x14ac:dyDescent="0.25">
      <c r="A43" t="s">
        <v>6</v>
      </c>
      <c r="B43" t="s">
        <v>8</v>
      </c>
      <c r="C43">
        <v>38674957</v>
      </c>
      <c r="D43" t="s">
        <v>52</v>
      </c>
      <c r="E43" t="s">
        <v>169</v>
      </c>
      <c r="F43" t="s">
        <v>285</v>
      </c>
      <c r="G43">
        <f>INDEX([1]Sheet1!$D:$D,MATCH(D43,[1]Sheet1!$C:$C,0))</f>
        <v>39</v>
      </c>
      <c r="H43">
        <f>INDEX([1]Sheet1!$E:$E,MATCH(D43,[1]Sheet1!$C:$C,0))</f>
        <v>2</v>
      </c>
      <c r="I43">
        <f>INDEX([1]Sheet1!$F:$F,MATCH(D43,[1]Sheet1!$C:$C,0))</f>
        <v>0</v>
      </c>
      <c r="J43">
        <f>INDEX([1]Sheet1!$G:$G,MATCH(D43,[1]Sheet1!$C:$C,0))</f>
        <v>0</v>
      </c>
      <c r="K43">
        <f>INDEX([1]Sheet1!$H:$H,MATCH(D43,[1]Sheet1!$C:$C,0))</f>
        <v>0</v>
      </c>
      <c r="L43">
        <f>INDEX([1]Sheet1!$I:$I,MATCH(D43,[1]Sheet1!$C:$C,0))</f>
        <v>0</v>
      </c>
      <c r="M43" t="e">
        <f>SUMIFS([2]Sheet1!$K:$K,[2]Sheet1!$B:$B,C43,[2]Sheet1!$J:$J,"Продажа")</f>
        <v>#VALUE!</v>
      </c>
      <c r="N43" t="e">
        <f>SUMIFS([2]Sheet1!$N:$N,[2]Sheet1!$B:$B,C43,[2]Sheet1!$J:$J,"Логистика",[2]Sheet1!$AC:$AC,"К клиенту при продаже")</f>
        <v>#VALUE!</v>
      </c>
    </row>
    <row r="44" spans="1:14" hidden="1" x14ac:dyDescent="0.25">
      <c r="A44" t="s">
        <v>6</v>
      </c>
      <c r="B44" t="s">
        <v>8</v>
      </c>
      <c r="C44">
        <v>38674964</v>
      </c>
      <c r="D44" t="s">
        <v>53</v>
      </c>
      <c r="E44" t="s">
        <v>170</v>
      </c>
      <c r="F44" t="s">
        <v>286</v>
      </c>
      <c r="G44">
        <f>INDEX([1]Sheet1!$D:$D,MATCH(D44,[1]Sheet1!$C:$C,0))</f>
        <v>52</v>
      </c>
      <c r="H44">
        <f>INDEX([1]Sheet1!$E:$E,MATCH(D44,[1]Sheet1!$C:$C,0))</f>
        <v>3</v>
      </c>
      <c r="I44">
        <f>INDEX([1]Sheet1!$F:$F,MATCH(D44,[1]Sheet1!$C:$C,0))</f>
        <v>2</v>
      </c>
      <c r="J44">
        <f>INDEX([1]Sheet1!$G:$G,MATCH(D44,[1]Sheet1!$C:$C,0))</f>
        <v>3074</v>
      </c>
      <c r="K44">
        <f>INDEX([1]Sheet1!$H:$H,MATCH(D44,[1]Sheet1!$C:$C,0))</f>
        <v>2</v>
      </c>
      <c r="L44">
        <f>INDEX([1]Sheet1!$I:$I,MATCH(D44,[1]Sheet1!$C:$C,0))</f>
        <v>3074</v>
      </c>
      <c r="M44" t="e">
        <f>SUMIFS([2]Sheet1!$K:$K,[2]Sheet1!$B:$B,C44,[2]Sheet1!$J:$J,"Продажа")</f>
        <v>#VALUE!</v>
      </c>
      <c r="N44" t="e">
        <f>SUMIFS([2]Sheet1!$N:$N,[2]Sheet1!$B:$B,C44,[2]Sheet1!$J:$J,"Логистика",[2]Sheet1!$AC:$AC,"К клиенту при продаже")</f>
        <v>#VALUE!</v>
      </c>
    </row>
    <row r="45" spans="1:14" hidden="1" x14ac:dyDescent="0.25">
      <c r="A45" t="s">
        <v>6</v>
      </c>
      <c r="B45" t="s">
        <v>8</v>
      </c>
      <c r="C45">
        <v>38674959</v>
      </c>
      <c r="D45" t="s">
        <v>54</v>
      </c>
      <c r="E45" t="s">
        <v>171</v>
      </c>
      <c r="F45" t="s">
        <v>287</v>
      </c>
      <c r="G45">
        <f>INDEX([1]Sheet1!$D:$D,MATCH(D45,[1]Sheet1!$C:$C,0))</f>
        <v>49</v>
      </c>
      <c r="H45">
        <f>INDEX([1]Sheet1!$E:$E,MATCH(D45,[1]Sheet1!$C:$C,0))</f>
        <v>2</v>
      </c>
      <c r="I45">
        <f>INDEX([1]Sheet1!$F:$F,MATCH(D45,[1]Sheet1!$C:$C,0))</f>
        <v>0</v>
      </c>
      <c r="J45">
        <f>INDEX([1]Sheet1!$G:$G,MATCH(D45,[1]Sheet1!$C:$C,0))</f>
        <v>0</v>
      </c>
      <c r="K45">
        <f>INDEX([1]Sheet1!$H:$H,MATCH(D45,[1]Sheet1!$C:$C,0))</f>
        <v>0</v>
      </c>
      <c r="L45">
        <f>INDEX([1]Sheet1!$I:$I,MATCH(D45,[1]Sheet1!$C:$C,0))</f>
        <v>0</v>
      </c>
      <c r="M45" t="e">
        <f>SUMIFS([2]Sheet1!$K:$K,[2]Sheet1!$B:$B,C45,[2]Sheet1!$J:$J,"Продажа")</f>
        <v>#VALUE!</v>
      </c>
      <c r="N45" t="e">
        <f>SUMIFS([2]Sheet1!$N:$N,[2]Sheet1!$B:$B,C45,[2]Sheet1!$J:$J,"Логистика",[2]Sheet1!$AC:$AC,"К клиенту при продаже")</f>
        <v>#VALUE!</v>
      </c>
    </row>
    <row r="46" spans="1:14" hidden="1" x14ac:dyDescent="0.25">
      <c r="A46" t="s">
        <v>6</v>
      </c>
      <c r="B46" t="s">
        <v>8</v>
      </c>
      <c r="C46">
        <v>12645288</v>
      </c>
      <c r="D46" t="s">
        <v>55</v>
      </c>
      <c r="E46" t="s">
        <v>172</v>
      </c>
      <c r="F46" t="s">
        <v>288</v>
      </c>
      <c r="G46">
        <f>INDEX([1]Sheet1!$D:$D,MATCH(D46,[1]Sheet1!$C:$C,0))</f>
        <v>51</v>
      </c>
      <c r="H46">
        <f>INDEX([1]Sheet1!$E:$E,MATCH(D46,[1]Sheet1!$C:$C,0))</f>
        <v>4</v>
      </c>
      <c r="I46">
        <f>INDEX([1]Sheet1!$F:$F,MATCH(D46,[1]Sheet1!$C:$C,0))</f>
        <v>2</v>
      </c>
      <c r="J46">
        <f>INDEX([1]Sheet1!$G:$G,MATCH(D46,[1]Sheet1!$C:$C,0))</f>
        <v>5280</v>
      </c>
      <c r="K46">
        <f>INDEX([1]Sheet1!$H:$H,MATCH(D46,[1]Sheet1!$C:$C,0))</f>
        <v>2</v>
      </c>
      <c r="L46">
        <f>INDEX([1]Sheet1!$I:$I,MATCH(D46,[1]Sheet1!$C:$C,0))</f>
        <v>5280</v>
      </c>
      <c r="M46" t="e">
        <f>SUMIFS([2]Sheet1!$K:$K,[2]Sheet1!$B:$B,C46,[2]Sheet1!$J:$J,"Продажа")</f>
        <v>#VALUE!</v>
      </c>
      <c r="N46" t="e">
        <f>SUMIFS([2]Sheet1!$N:$N,[2]Sheet1!$B:$B,C46,[2]Sheet1!$J:$J,"Логистика",[2]Sheet1!$AC:$AC,"К клиенту при продаже")</f>
        <v>#VALUE!</v>
      </c>
    </row>
    <row r="47" spans="1:14" hidden="1" x14ac:dyDescent="0.25">
      <c r="A47" t="s">
        <v>6</v>
      </c>
      <c r="B47" t="s">
        <v>8</v>
      </c>
      <c r="C47">
        <v>12645292</v>
      </c>
      <c r="D47" t="s">
        <v>56</v>
      </c>
      <c r="E47" t="s">
        <v>173</v>
      </c>
      <c r="F47" t="s">
        <v>289</v>
      </c>
      <c r="G47">
        <f>INDEX([1]Sheet1!$D:$D,MATCH(D47,[1]Sheet1!$C:$C,0))</f>
        <v>43</v>
      </c>
      <c r="H47">
        <f>INDEX([1]Sheet1!$E:$E,MATCH(D47,[1]Sheet1!$C:$C,0))</f>
        <v>4</v>
      </c>
      <c r="I47">
        <f>INDEX([1]Sheet1!$F:$F,MATCH(D47,[1]Sheet1!$C:$C,0))</f>
        <v>1</v>
      </c>
      <c r="J47">
        <f>INDEX([1]Sheet1!$G:$G,MATCH(D47,[1]Sheet1!$C:$C,0))</f>
        <v>2640</v>
      </c>
      <c r="K47">
        <f>INDEX([1]Sheet1!$H:$H,MATCH(D47,[1]Sheet1!$C:$C,0))</f>
        <v>1</v>
      </c>
      <c r="L47">
        <f>INDEX([1]Sheet1!$I:$I,MATCH(D47,[1]Sheet1!$C:$C,0))</f>
        <v>2640</v>
      </c>
      <c r="M47" t="e">
        <f>SUMIFS([2]Sheet1!$K:$K,[2]Sheet1!$B:$B,C47,[2]Sheet1!$J:$J,"Продажа")</f>
        <v>#VALUE!</v>
      </c>
      <c r="N47" t="e">
        <f>SUMIFS([2]Sheet1!$N:$N,[2]Sheet1!$B:$B,C47,[2]Sheet1!$J:$J,"Логистика",[2]Sheet1!$AC:$AC,"К клиенту при продаже")</f>
        <v>#VALUE!</v>
      </c>
    </row>
    <row r="48" spans="1:14" hidden="1" x14ac:dyDescent="0.25">
      <c r="A48" t="s">
        <v>6</v>
      </c>
      <c r="B48" t="s">
        <v>8</v>
      </c>
      <c r="C48">
        <v>12645291</v>
      </c>
      <c r="D48" t="s">
        <v>57</v>
      </c>
      <c r="E48" t="s">
        <v>174</v>
      </c>
      <c r="F48" t="s">
        <v>290</v>
      </c>
      <c r="G48">
        <f>INDEX([1]Sheet1!$D:$D,MATCH(D48,[1]Sheet1!$C:$C,0))</f>
        <v>44</v>
      </c>
      <c r="H48">
        <f>INDEX([1]Sheet1!$E:$E,MATCH(D48,[1]Sheet1!$C:$C,0))</f>
        <v>1</v>
      </c>
      <c r="I48">
        <f>INDEX([1]Sheet1!$F:$F,MATCH(D48,[1]Sheet1!$C:$C,0))</f>
        <v>0</v>
      </c>
      <c r="J48">
        <f>INDEX([1]Sheet1!$G:$G,MATCH(D48,[1]Sheet1!$C:$C,0))</f>
        <v>0</v>
      </c>
      <c r="K48">
        <f>INDEX([1]Sheet1!$H:$H,MATCH(D48,[1]Sheet1!$C:$C,0))</f>
        <v>0</v>
      </c>
      <c r="L48">
        <f>INDEX([1]Sheet1!$I:$I,MATCH(D48,[1]Sheet1!$C:$C,0))</f>
        <v>0</v>
      </c>
      <c r="M48" t="e">
        <f>SUMIFS([2]Sheet1!$K:$K,[2]Sheet1!$B:$B,C48,[2]Sheet1!$J:$J,"Продажа")</f>
        <v>#VALUE!</v>
      </c>
      <c r="N48" t="e">
        <f>SUMIFS([2]Sheet1!$N:$N,[2]Sheet1!$B:$B,C48,[2]Sheet1!$J:$J,"Логистика",[2]Sheet1!$AC:$AC,"К клиенту при продаже")</f>
        <v>#VALUE!</v>
      </c>
    </row>
    <row r="49" spans="1:14" hidden="1" x14ac:dyDescent="0.25">
      <c r="A49" t="s">
        <v>6</v>
      </c>
      <c r="B49" t="s">
        <v>8</v>
      </c>
      <c r="C49">
        <v>12645289</v>
      </c>
      <c r="D49" t="s">
        <v>58</v>
      </c>
      <c r="E49" t="s">
        <v>175</v>
      </c>
      <c r="F49" t="s">
        <v>291</v>
      </c>
      <c r="G49">
        <f>INDEX([1]Sheet1!$D:$D,MATCH(D49,[1]Sheet1!$C:$C,0))</f>
        <v>42</v>
      </c>
      <c r="H49">
        <f>INDEX([1]Sheet1!$E:$E,MATCH(D49,[1]Sheet1!$C:$C,0))</f>
        <v>2</v>
      </c>
      <c r="I49">
        <f>INDEX([1]Sheet1!$F:$F,MATCH(D49,[1]Sheet1!$C:$C,0))</f>
        <v>2</v>
      </c>
      <c r="J49">
        <f>INDEX([1]Sheet1!$G:$G,MATCH(D49,[1]Sheet1!$C:$C,0))</f>
        <v>5280</v>
      </c>
      <c r="K49">
        <f>INDEX([1]Sheet1!$H:$H,MATCH(D49,[1]Sheet1!$C:$C,0))</f>
        <v>2</v>
      </c>
      <c r="L49">
        <f>INDEX([1]Sheet1!$I:$I,MATCH(D49,[1]Sheet1!$C:$C,0))</f>
        <v>5280</v>
      </c>
      <c r="M49" t="e">
        <f>SUMIFS([2]Sheet1!$K:$K,[2]Sheet1!$B:$B,C49,[2]Sheet1!$J:$J,"Продажа")</f>
        <v>#VALUE!</v>
      </c>
      <c r="N49" t="e">
        <f>SUMIFS([2]Sheet1!$N:$N,[2]Sheet1!$B:$B,C49,[2]Sheet1!$J:$J,"Логистика",[2]Sheet1!$AC:$AC,"К клиенту при продаже")</f>
        <v>#VALUE!</v>
      </c>
    </row>
    <row r="50" spans="1:14" hidden="1" x14ac:dyDescent="0.25">
      <c r="A50" t="s">
        <v>6</v>
      </c>
      <c r="B50" t="s">
        <v>8</v>
      </c>
      <c r="C50">
        <v>411662545</v>
      </c>
      <c r="D50" t="s">
        <v>59</v>
      </c>
      <c r="E50" t="s">
        <v>176</v>
      </c>
      <c r="F50" t="s">
        <v>292</v>
      </c>
      <c r="G50">
        <f>INDEX([1]Sheet1!$D:$D,MATCH(D50,[1]Sheet1!$C:$C,0))</f>
        <v>33</v>
      </c>
      <c r="H50">
        <f>INDEX([1]Sheet1!$E:$E,MATCH(D50,[1]Sheet1!$C:$C,0))</f>
        <v>1</v>
      </c>
      <c r="I50">
        <f>INDEX([1]Sheet1!$F:$F,MATCH(D50,[1]Sheet1!$C:$C,0))</f>
        <v>0</v>
      </c>
      <c r="J50">
        <f>INDEX([1]Sheet1!$G:$G,MATCH(D50,[1]Sheet1!$C:$C,0))</f>
        <v>0</v>
      </c>
      <c r="K50">
        <f>INDEX([1]Sheet1!$H:$H,MATCH(D50,[1]Sheet1!$C:$C,0))</f>
        <v>0</v>
      </c>
      <c r="L50">
        <f>INDEX([1]Sheet1!$I:$I,MATCH(D50,[1]Sheet1!$C:$C,0))</f>
        <v>0</v>
      </c>
      <c r="M50" t="e">
        <f>SUMIFS([2]Sheet1!$K:$K,[2]Sheet1!$B:$B,C50,[2]Sheet1!$J:$J,"Продажа")</f>
        <v>#VALUE!</v>
      </c>
      <c r="N50" t="e">
        <f>SUMIFS([2]Sheet1!$N:$N,[2]Sheet1!$B:$B,C50,[2]Sheet1!$J:$J,"Логистика",[2]Sheet1!$AC:$AC,"К клиенту при продаже")</f>
        <v>#VALUE!</v>
      </c>
    </row>
    <row r="51" spans="1:14" hidden="1" x14ac:dyDescent="0.25">
      <c r="A51" t="s">
        <v>6</v>
      </c>
      <c r="B51" t="s">
        <v>8</v>
      </c>
      <c r="C51">
        <v>490410459</v>
      </c>
      <c r="D51" t="s">
        <v>60</v>
      </c>
      <c r="E51" t="s">
        <v>177</v>
      </c>
      <c r="F51" t="s">
        <v>293</v>
      </c>
      <c r="G51">
        <f>INDEX([1]Sheet1!$D:$D,MATCH(D51,[1]Sheet1!$C:$C,0))</f>
        <v>2</v>
      </c>
      <c r="H51">
        <f>INDEX([1]Sheet1!$E:$E,MATCH(D51,[1]Sheet1!$C:$C,0))</f>
        <v>1</v>
      </c>
      <c r="I51">
        <f>INDEX([1]Sheet1!$F:$F,MATCH(D51,[1]Sheet1!$C:$C,0))</f>
        <v>0</v>
      </c>
      <c r="J51">
        <f>INDEX([1]Sheet1!$G:$G,MATCH(D51,[1]Sheet1!$C:$C,0))</f>
        <v>0</v>
      </c>
      <c r="K51">
        <f>INDEX([1]Sheet1!$H:$H,MATCH(D51,[1]Sheet1!$C:$C,0))</f>
        <v>0</v>
      </c>
      <c r="L51">
        <f>INDEX([1]Sheet1!$I:$I,MATCH(D51,[1]Sheet1!$C:$C,0))</f>
        <v>0</v>
      </c>
      <c r="M51" t="e">
        <f>SUMIFS([2]Sheet1!$K:$K,[2]Sheet1!$B:$B,C51,[2]Sheet1!$J:$J,"Продажа")</f>
        <v>#VALUE!</v>
      </c>
      <c r="N51" t="e">
        <f>SUMIFS([2]Sheet1!$N:$N,[2]Sheet1!$B:$B,C51,[2]Sheet1!$J:$J,"Логистика",[2]Sheet1!$AC:$AC,"К клиенту при продаже")</f>
        <v>#VALUE!</v>
      </c>
    </row>
    <row r="52" spans="1:14" hidden="1" x14ac:dyDescent="0.25">
      <c r="A52" t="s">
        <v>6</v>
      </c>
      <c r="B52" t="s">
        <v>8</v>
      </c>
      <c r="C52">
        <v>490516010</v>
      </c>
      <c r="D52" t="s">
        <v>61</v>
      </c>
      <c r="E52" t="s">
        <v>178</v>
      </c>
      <c r="F52" t="s">
        <v>294</v>
      </c>
      <c r="G52">
        <f>INDEX([1]Sheet1!$D:$D,MATCH(D52,[1]Sheet1!$C:$C,0))</f>
        <v>3</v>
      </c>
      <c r="H52">
        <f>INDEX([1]Sheet1!$E:$E,MATCH(D52,[1]Sheet1!$C:$C,0))</f>
        <v>0</v>
      </c>
      <c r="I52">
        <f>INDEX([1]Sheet1!$F:$F,MATCH(D52,[1]Sheet1!$C:$C,0))</f>
        <v>0</v>
      </c>
      <c r="J52">
        <f>INDEX([1]Sheet1!$G:$G,MATCH(D52,[1]Sheet1!$C:$C,0))</f>
        <v>0</v>
      </c>
      <c r="K52">
        <f>INDEX([1]Sheet1!$H:$H,MATCH(D52,[1]Sheet1!$C:$C,0))</f>
        <v>0</v>
      </c>
      <c r="L52">
        <f>INDEX([1]Sheet1!$I:$I,MATCH(D52,[1]Sheet1!$C:$C,0))</f>
        <v>0</v>
      </c>
      <c r="M52" t="e">
        <f>SUMIFS([2]Sheet1!$K:$K,[2]Sheet1!$B:$B,C52,[2]Sheet1!$J:$J,"Продажа")</f>
        <v>#VALUE!</v>
      </c>
      <c r="N52" t="e">
        <f>SUMIFS([2]Sheet1!$N:$N,[2]Sheet1!$B:$B,C52,[2]Sheet1!$J:$J,"Логистика",[2]Sheet1!$AC:$AC,"К клиенту при продаже")</f>
        <v>#VALUE!</v>
      </c>
    </row>
    <row r="53" spans="1:14" hidden="1" x14ac:dyDescent="0.25">
      <c r="A53" t="s">
        <v>6</v>
      </c>
      <c r="B53" t="s">
        <v>8</v>
      </c>
      <c r="C53">
        <v>490417030</v>
      </c>
      <c r="D53" t="s">
        <v>62</v>
      </c>
      <c r="E53" t="s">
        <v>179</v>
      </c>
      <c r="F53" t="s">
        <v>295</v>
      </c>
      <c r="G53">
        <f>INDEX([1]Sheet1!$D:$D,MATCH(D53,[1]Sheet1!$C:$C,0))</f>
        <v>1</v>
      </c>
      <c r="H53">
        <f>INDEX([1]Sheet1!$E:$E,MATCH(D53,[1]Sheet1!$C:$C,0))</f>
        <v>0</v>
      </c>
      <c r="I53">
        <f>INDEX([1]Sheet1!$F:$F,MATCH(D53,[1]Sheet1!$C:$C,0))</f>
        <v>0</v>
      </c>
      <c r="J53">
        <f>INDEX([1]Sheet1!$G:$G,MATCH(D53,[1]Sheet1!$C:$C,0))</f>
        <v>0</v>
      </c>
      <c r="K53">
        <f>INDEX([1]Sheet1!$H:$H,MATCH(D53,[1]Sheet1!$C:$C,0))</f>
        <v>0</v>
      </c>
      <c r="L53">
        <f>INDEX([1]Sheet1!$I:$I,MATCH(D53,[1]Sheet1!$C:$C,0))</f>
        <v>0</v>
      </c>
      <c r="M53" t="e">
        <f>SUMIFS([2]Sheet1!$K:$K,[2]Sheet1!$B:$B,C53,[2]Sheet1!$J:$J,"Продажа")</f>
        <v>#VALUE!</v>
      </c>
      <c r="N53" t="e">
        <f>SUMIFS([2]Sheet1!$N:$N,[2]Sheet1!$B:$B,C53,[2]Sheet1!$J:$J,"Логистика",[2]Sheet1!$AC:$AC,"К клиенту при продаже")</f>
        <v>#VALUE!</v>
      </c>
    </row>
    <row r="54" spans="1:14" hidden="1" x14ac:dyDescent="0.25">
      <c r="A54" t="s">
        <v>6</v>
      </c>
      <c r="B54" t="s">
        <v>8</v>
      </c>
      <c r="C54">
        <v>490421317</v>
      </c>
      <c r="D54" t="s">
        <v>63</v>
      </c>
      <c r="E54" t="s">
        <v>180</v>
      </c>
      <c r="F54" t="s">
        <v>296</v>
      </c>
      <c r="G54">
        <f>INDEX([1]Sheet1!$D:$D,MATCH(D54,[1]Sheet1!$C:$C,0))</f>
        <v>1</v>
      </c>
      <c r="H54">
        <f>INDEX([1]Sheet1!$E:$E,MATCH(D54,[1]Sheet1!$C:$C,0))</f>
        <v>0</v>
      </c>
      <c r="I54">
        <f>INDEX([1]Sheet1!$F:$F,MATCH(D54,[1]Sheet1!$C:$C,0))</f>
        <v>0</v>
      </c>
      <c r="J54">
        <f>INDEX([1]Sheet1!$G:$G,MATCH(D54,[1]Sheet1!$C:$C,0))</f>
        <v>0</v>
      </c>
      <c r="K54">
        <f>INDEX([1]Sheet1!$H:$H,MATCH(D54,[1]Sheet1!$C:$C,0))</f>
        <v>0</v>
      </c>
      <c r="L54">
        <f>INDEX([1]Sheet1!$I:$I,MATCH(D54,[1]Sheet1!$C:$C,0))</f>
        <v>0</v>
      </c>
      <c r="M54" t="e">
        <f>SUMIFS([2]Sheet1!$K:$K,[2]Sheet1!$B:$B,C54,[2]Sheet1!$J:$J,"Продажа")</f>
        <v>#VALUE!</v>
      </c>
      <c r="N54" t="e">
        <f>SUMIFS([2]Sheet1!$N:$N,[2]Sheet1!$B:$B,C54,[2]Sheet1!$J:$J,"Логистика",[2]Sheet1!$AC:$AC,"К клиенту при продаже")</f>
        <v>#VALUE!</v>
      </c>
    </row>
    <row r="55" spans="1:14" hidden="1" x14ac:dyDescent="0.25">
      <c r="A55" t="s">
        <v>6</v>
      </c>
      <c r="B55" t="s">
        <v>8</v>
      </c>
      <c r="C55">
        <v>490439332</v>
      </c>
      <c r="D55" t="s">
        <v>64</v>
      </c>
      <c r="E55" t="s">
        <v>181</v>
      </c>
      <c r="F55" t="s">
        <v>297</v>
      </c>
      <c r="G55">
        <f>INDEX([1]Sheet1!$D:$D,MATCH(D55,[1]Sheet1!$C:$C,0))</f>
        <v>2</v>
      </c>
      <c r="H55">
        <f>INDEX([1]Sheet1!$E:$E,MATCH(D55,[1]Sheet1!$C:$C,0))</f>
        <v>0</v>
      </c>
      <c r="I55">
        <f>INDEX([1]Sheet1!$F:$F,MATCH(D55,[1]Sheet1!$C:$C,0))</f>
        <v>0</v>
      </c>
      <c r="J55">
        <f>INDEX([1]Sheet1!$G:$G,MATCH(D55,[1]Sheet1!$C:$C,0))</f>
        <v>0</v>
      </c>
      <c r="K55">
        <f>INDEX([1]Sheet1!$H:$H,MATCH(D55,[1]Sheet1!$C:$C,0))</f>
        <v>0</v>
      </c>
      <c r="L55">
        <f>INDEX([1]Sheet1!$I:$I,MATCH(D55,[1]Sheet1!$C:$C,0))</f>
        <v>0</v>
      </c>
      <c r="M55" t="e">
        <f>SUMIFS([2]Sheet1!$K:$K,[2]Sheet1!$B:$B,C55,[2]Sheet1!$J:$J,"Продажа")</f>
        <v>#VALUE!</v>
      </c>
      <c r="N55" t="e">
        <f>SUMIFS([2]Sheet1!$N:$N,[2]Sheet1!$B:$B,C55,[2]Sheet1!$J:$J,"Логистика",[2]Sheet1!$AC:$AC,"К клиенту при продаже")</f>
        <v>#VALUE!</v>
      </c>
    </row>
    <row r="56" spans="1:14" hidden="1" x14ac:dyDescent="0.25">
      <c r="A56" t="s">
        <v>6</v>
      </c>
      <c r="B56" t="s">
        <v>8</v>
      </c>
      <c r="C56">
        <v>490444931</v>
      </c>
      <c r="D56" t="s">
        <v>65</v>
      </c>
      <c r="E56" t="s">
        <v>182</v>
      </c>
      <c r="F56" t="s">
        <v>298</v>
      </c>
      <c r="G56">
        <f>INDEX([1]Sheet1!$D:$D,MATCH(D56,[1]Sheet1!$C:$C,0))</f>
        <v>3</v>
      </c>
      <c r="H56">
        <f>INDEX([1]Sheet1!$E:$E,MATCH(D56,[1]Sheet1!$C:$C,0))</f>
        <v>1</v>
      </c>
      <c r="I56">
        <f>INDEX([1]Sheet1!$F:$F,MATCH(D56,[1]Sheet1!$C:$C,0))</f>
        <v>0</v>
      </c>
      <c r="J56">
        <f>INDEX([1]Sheet1!$G:$G,MATCH(D56,[1]Sheet1!$C:$C,0))</f>
        <v>0</v>
      </c>
      <c r="K56">
        <f>INDEX([1]Sheet1!$H:$H,MATCH(D56,[1]Sheet1!$C:$C,0))</f>
        <v>0</v>
      </c>
      <c r="L56">
        <f>INDEX([1]Sheet1!$I:$I,MATCH(D56,[1]Sheet1!$C:$C,0))</f>
        <v>0</v>
      </c>
      <c r="M56" t="e">
        <f>SUMIFS([2]Sheet1!$K:$K,[2]Sheet1!$B:$B,C56,[2]Sheet1!$J:$J,"Продажа")</f>
        <v>#VALUE!</v>
      </c>
      <c r="N56" t="e">
        <f>SUMIFS([2]Sheet1!$N:$N,[2]Sheet1!$B:$B,C56,[2]Sheet1!$J:$J,"Логистика",[2]Sheet1!$AC:$AC,"К клиенту при продаже")</f>
        <v>#VALUE!</v>
      </c>
    </row>
    <row r="57" spans="1:14" hidden="1" x14ac:dyDescent="0.25">
      <c r="A57" t="s">
        <v>6</v>
      </c>
      <c r="B57" t="s">
        <v>8</v>
      </c>
      <c r="C57">
        <v>490414294</v>
      </c>
      <c r="D57" t="s">
        <v>66</v>
      </c>
      <c r="E57" t="s">
        <v>183</v>
      </c>
      <c r="F57" t="s">
        <v>299</v>
      </c>
      <c r="G57">
        <f>INDEX([1]Sheet1!$D:$D,MATCH(D57,[1]Sheet1!$C:$C,0))</f>
        <v>1</v>
      </c>
      <c r="H57">
        <f>INDEX([1]Sheet1!$E:$E,MATCH(D57,[1]Sheet1!$C:$C,0))</f>
        <v>0</v>
      </c>
      <c r="I57">
        <f>INDEX([1]Sheet1!$F:$F,MATCH(D57,[1]Sheet1!$C:$C,0))</f>
        <v>0</v>
      </c>
      <c r="J57">
        <f>INDEX([1]Sheet1!$G:$G,MATCH(D57,[1]Sheet1!$C:$C,0))</f>
        <v>0</v>
      </c>
      <c r="K57">
        <f>INDEX([1]Sheet1!$H:$H,MATCH(D57,[1]Sheet1!$C:$C,0))</f>
        <v>0</v>
      </c>
      <c r="L57">
        <f>INDEX([1]Sheet1!$I:$I,MATCH(D57,[1]Sheet1!$C:$C,0))</f>
        <v>0</v>
      </c>
      <c r="M57" t="e">
        <f>SUMIFS([2]Sheet1!$K:$K,[2]Sheet1!$B:$B,C57,[2]Sheet1!$J:$J,"Продажа")</f>
        <v>#VALUE!</v>
      </c>
      <c r="N57" t="e">
        <f>SUMIFS([2]Sheet1!$N:$N,[2]Sheet1!$B:$B,C57,[2]Sheet1!$J:$J,"Логистика",[2]Sheet1!$AC:$AC,"К клиенту при продаже")</f>
        <v>#VALUE!</v>
      </c>
    </row>
    <row r="58" spans="1:14" hidden="1" x14ac:dyDescent="0.25">
      <c r="A58" t="s">
        <v>6</v>
      </c>
      <c r="B58" t="s">
        <v>8</v>
      </c>
      <c r="C58">
        <v>490503896</v>
      </c>
      <c r="D58" t="s">
        <v>67</v>
      </c>
      <c r="E58" t="s">
        <v>184</v>
      </c>
      <c r="F58" t="s">
        <v>300</v>
      </c>
      <c r="G58">
        <f>INDEX([1]Sheet1!$D:$D,MATCH(D58,[1]Sheet1!$C:$C,0))</f>
        <v>5</v>
      </c>
      <c r="H58">
        <f>INDEX([1]Sheet1!$E:$E,MATCH(D58,[1]Sheet1!$C:$C,0))</f>
        <v>1</v>
      </c>
      <c r="I58">
        <f>INDEX([1]Sheet1!$F:$F,MATCH(D58,[1]Sheet1!$C:$C,0))</f>
        <v>0</v>
      </c>
      <c r="J58">
        <f>INDEX([1]Sheet1!$G:$G,MATCH(D58,[1]Sheet1!$C:$C,0))</f>
        <v>0</v>
      </c>
      <c r="K58">
        <f>INDEX([1]Sheet1!$H:$H,MATCH(D58,[1]Sheet1!$C:$C,0))</f>
        <v>0</v>
      </c>
      <c r="L58">
        <f>INDEX([1]Sheet1!$I:$I,MATCH(D58,[1]Sheet1!$C:$C,0))</f>
        <v>0</v>
      </c>
      <c r="M58" t="e">
        <f>SUMIFS([2]Sheet1!$K:$K,[2]Sheet1!$B:$B,C58,[2]Sheet1!$J:$J,"Продажа")</f>
        <v>#VALUE!</v>
      </c>
      <c r="N58" t="e">
        <f>SUMIFS([2]Sheet1!$N:$N,[2]Sheet1!$B:$B,C58,[2]Sheet1!$J:$J,"Логистика",[2]Sheet1!$AC:$AC,"К клиенту при продаже")</f>
        <v>#VALUE!</v>
      </c>
    </row>
    <row r="59" spans="1:14" hidden="1" x14ac:dyDescent="0.25">
      <c r="A59" t="s">
        <v>6</v>
      </c>
      <c r="B59" t="s">
        <v>8</v>
      </c>
      <c r="C59">
        <v>490485179</v>
      </c>
      <c r="D59" t="s">
        <v>68</v>
      </c>
      <c r="E59" t="s">
        <v>185</v>
      </c>
      <c r="F59" t="s">
        <v>301</v>
      </c>
      <c r="G59">
        <f>INDEX([1]Sheet1!$D:$D,MATCH(D59,[1]Sheet1!$C:$C,0))</f>
        <v>3</v>
      </c>
      <c r="H59">
        <f>INDEX([1]Sheet1!$E:$E,MATCH(D59,[1]Sheet1!$C:$C,0))</f>
        <v>0</v>
      </c>
      <c r="I59">
        <f>INDEX([1]Sheet1!$F:$F,MATCH(D59,[1]Sheet1!$C:$C,0))</f>
        <v>0</v>
      </c>
      <c r="J59">
        <f>INDEX([1]Sheet1!$G:$G,MATCH(D59,[1]Sheet1!$C:$C,0))</f>
        <v>0</v>
      </c>
      <c r="K59">
        <f>INDEX([1]Sheet1!$H:$H,MATCH(D59,[1]Sheet1!$C:$C,0))</f>
        <v>0</v>
      </c>
      <c r="L59">
        <f>INDEX([1]Sheet1!$I:$I,MATCH(D59,[1]Sheet1!$C:$C,0))</f>
        <v>0</v>
      </c>
      <c r="M59" t="e">
        <f>SUMIFS([2]Sheet1!$K:$K,[2]Sheet1!$B:$B,C59,[2]Sheet1!$J:$J,"Продажа")</f>
        <v>#VALUE!</v>
      </c>
      <c r="N59" t="e">
        <f>SUMIFS([2]Sheet1!$N:$N,[2]Sheet1!$B:$B,C59,[2]Sheet1!$J:$J,"Логистика",[2]Sheet1!$AC:$AC,"К клиенту при продаже")</f>
        <v>#VALUE!</v>
      </c>
    </row>
    <row r="60" spans="1:14" hidden="1" x14ac:dyDescent="0.25">
      <c r="A60" t="s">
        <v>6</v>
      </c>
      <c r="B60" t="s">
        <v>8</v>
      </c>
      <c r="C60">
        <v>490489082</v>
      </c>
      <c r="D60" t="s">
        <v>69</v>
      </c>
      <c r="E60" t="s">
        <v>186</v>
      </c>
      <c r="F60" t="s">
        <v>302</v>
      </c>
      <c r="G60">
        <f>INDEX([1]Sheet1!$D:$D,MATCH(D60,[1]Sheet1!$C:$C,0))</f>
        <v>8</v>
      </c>
      <c r="H60">
        <f>INDEX([1]Sheet1!$E:$E,MATCH(D60,[1]Sheet1!$C:$C,0))</f>
        <v>1</v>
      </c>
      <c r="I60">
        <f>INDEX([1]Sheet1!$F:$F,MATCH(D60,[1]Sheet1!$C:$C,0))</f>
        <v>0</v>
      </c>
      <c r="J60">
        <f>INDEX([1]Sheet1!$G:$G,MATCH(D60,[1]Sheet1!$C:$C,0))</f>
        <v>0</v>
      </c>
      <c r="K60">
        <f>INDEX([1]Sheet1!$H:$H,MATCH(D60,[1]Sheet1!$C:$C,0))</f>
        <v>0</v>
      </c>
      <c r="L60">
        <f>INDEX([1]Sheet1!$I:$I,MATCH(D60,[1]Sheet1!$C:$C,0))</f>
        <v>0</v>
      </c>
      <c r="M60" t="e">
        <f>SUMIFS([2]Sheet1!$K:$K,[2]Sheet1!$B:$B,C60,[2]Sheet1!$J:$J,"Продажа")</f>
        <v>#VALUE!</v>
      </c>
      <c r="N60" t="e">
        <f>SUMIFS([2]Sheet1!$N:$N,[2]Sheet1!$B:$B,C60,[2]Sheet1!$J:$J,"Логистика",[2]Sheet1!$AC:$AC,"К клиенту при продаже")</f>
        <v>#VALUE!</v>
      </c>
    </row>
    <row r="61" spans="1:14" hidden="1" x14ac:dyDescent="0.25">
      <c r="A61" t="s">
        <v>6</v>
      </c>
      <c r="B61" t="s">
        <v>8</v>
      </c>
      <c r="C61">
        <v>490477519</v>
      </c>
      <c r="D61" t="s">
        <v>70</v>
      </c>
      <c r="E61" t="s">
        <v>187</v>
      </c>
      <c r="F61" t="s">
        <v>303</v>
      </c>
      <c r="G61">
        <f>INDEX([1]Sheet1!$D:$D,MATCH(D61,[1]Sheet1!$C:$C,0))</f>
        <v>2</v>
      </c>
      <c r="H61">
        <f>INDEX([1]Sheet1!$E:$E,MATCH(D61,[1]Sheet1!$C:$C,0))</f>
        <v>0</v>
      </c>
      <c r="I61">
        <f>INDEX([1]Sheet1!$F:$F,MATCH(D61,[1]Sheet1!$C:$C,0))</f>
        <v>0</v>
      </c>
      <c r="J61">
        <f>INDEX([1]Sheet1!$G:$G,MATCH(D61,[1]Sheet1!$C:$C,0))</f>
        <v>0</v>
      </c>
      <c r="K61">
        <f>INDEX([1]Sheet1!$H:$H,MATCH(D61,[1]Sheet1!$C:$C,0))</f>
        <v>0</v>
      </c>
      <c r="L61">
        <f>INDEX([1]Sheet1!$I:$I,MATCH(D61,[1]Sheet1!$C:$C,0))</f>
        <v>0</v>
      </c>
      <c r="M61" t="e">
        <f>SUMIFS([2]Sheet1!$K:$K,[2]Sheet1!$B:$B,C61,[2]Sheet1!$J:$J,"Продажа")</f>
        <v>#VALUE!</v>
      </c>
      <c r="N61" t="e">
        <f>SUMIFS([2]Sheet1!$N:$N,[2]Sheet1!$B:$B,C61,[2]Sheet1!$J:$J,"Логистика",[2]Sheet1!$AC:$AC,"К клиенту при продаже")</f>
        <v>#VALUE!</v>
      </c>
    </row>
    <row r="62" spans="1:14" hidden="1" x14ac:dyDescent="0.25">
      <c r="A62" t="s">
        <v>6</v>
      </c>
      <c r="B62" t="s">
        <v>8</v>
      </c>
      <c r="C62">
        <v>506059140</v>
      </c>
      <c r="D62" t="s">
        <v>71</v>
      </c>
      <c r="E62" t="s">
        <v>188</v>
      </c>
      <c r="F62" t="s">
        <v>304</v>
      </c>
      <c r="G62">
        <f>INDEX([1]Sheet1!$D:$D,MATCH(D62,[1]Sheet1!$C:$C,0))</f>
        <v>15</v>
      </c>
      <c r="H62">
        <f>INDEX([1]Sheet1!$E:$E,MATCH(D62,[1]Sheet1!$C:$C,0))</f>
        <v>0</v>
      </c>
      <c r="I62">
        <f>INDEX([1]Sheet1!$F:$F,MATCH(D62,[1]Sheet1!$C:$C,0))</f>
        <v>0</v>
      </c>
      <c r="J62">
        <f>INDEX([1]Sheet1!$G:$G,MATCH(D62,[1]Sheet1!$C:$C,0))</f>
        <v>0</v>
      </c>
      <c r="K62">
        <f>INDEX([1]Sheet1!$H:$H,MATCH(D62,[1]Sheet1!$C:$C,0))</f>
        <v>0</v>
      </c>
      <c r="L62">
        <f>INDEX([1]Sheet1!$I:$I,MATCH(D62,[1]Sheet1!$C:$C,0))</f>
        <v>0</v>
      </c>
      <c r="M62" t="e">
        <f>SUMIFS([2]Sheet1!$K:$K,[2]Sheet1!$B:$B,C62,[2]Sheet1!$J:$J,"Продажа")</f>
        <v>#VALUE!</v>
      </c>
      <c r="N62" t="e">
        <f>SUMIFS([2]Sheet1!$N:$N,[2]Sheet1!$B:$B,C62,[2]Sheet1!$J:$J,"Логистика",[2]Sheet1!$AC:$AC,"К клиенту при продаже")</f>
        <v>#VALUE!</v>
      </c>
    </row>
    <row r="63" spans="1:14" hidden="1" x14ac:dyDescent="0.25">
      <c r="A63" t="s">
        <v>6</v>
      </c>
      <c r="B63" t="s">
        <v>8</v>
      </c>
      <c r="C63">
        <v>12645299</v>
      </c>
      <c r="D63" t="s">
        <v>72</v>
      </c>
      <c r="E63" t="s">
        <v>189</v>
      </c>
      <c r="F63" t="s">
        <v>305</v>
      </c>
      <c r="G63">
        <f>INDEX([1]Sheet1!$D:$D,MATCH(D63,[1]Sheet1!$C:$C,0))</f>
        <v>13</v>
      </c>
      <c r="H63">
        <f>INDEX([1]Sheet1!$E:$E,MATCH(D63,[1]Sheet1!$C:$C,0))</f>
        <v>0</v>
      </c>
      <c r="I63">
        <f>INDEX([1]Sheet1!$F:$F,MATCH(D63,[1]Sheet1!$C:$C,0))</f>
        <v>0</v>
      </c>
      <c r="J63">
        <f>INDEX([1]Sheet1!$G:$G,MATCH(D63,[1]Sheet1!$C:$C,0))</f>
        <v>0</v>
      </c>
      <c r="K63">
        <f>INDEX([1]Sheet1!$H:$H,MATCH(D63,[1]Sheet1!$C:$C,0))</f>
        <v>0</v>
      </c>
      <c r="L63">
        <f>INDEX([1]Sheet1!$I:$I,MATCH(D63,[1]Sheet1!$C:$C,0))</f>
        <v>0</v>
      </c>
      <c r="M63" t="e">
        <f>SUMIFS([2]Sheet1!$K:$K,[2]Sheet1!$B:$B,C63,[2]Sheet1!$J:$J,"Продажа")</f>
        <v>#VALUE!</v>
      </c>
      <c r="N63" t="e">
        <f>SUMIFS([2]Sheet1!$N:$N,[2]Sheet1!$B:$B,C63,[2]Sheet1!$J:$J,"Логистика",[2]Sheet1!$AC:$AC,"К клиенту при продаже")</f>
        <v>#VALUE!</v>
      </c>
    </row>
    <row r="64" spans="1:14" hidden="1" x14ac:dyDescent="0.25">
      <c r="A64" t="s">
        <v>6</v>
      </c>
      <c r="B64" t="s">
        <v>8</v>
      </c>
      <c r="C64">
        <v>12645297</v>
      </c>
      <c r="D64" t="s">
        <v>73</v>
      </c>
      <c r="E64" t="s">
        <v>190</v>
      </c>
      <c r="F64" t="s">
        <v>306</v>
      </c>
      <c r="G64">
        <f>INDEX([1]Sheet1!$D:$D,MATCH(D64,[1]Sheet1!$C:$C,0))</f>
        <v>14</v>
      </c>
      <c r="H64">
        <f>INDEX([1]Sheet1!$E:$E,MATCH(D64,[1]Sheet1!$C:$C,0))</f>
        <v>1</v>
      </c>
      <c r="I64">
        <f>INDEX([1]Sheet1!$F:$F,MATCH(D64,[1]Sheet1!$C:$C,0))</f>
        <v>0</v>
      </c>
      <c r="J64">
        <f>INDEX([1]Sheet1!$G:$G,MATCH(D64,[1]Sheet1!$C:$C,0))</f>
        <v>0</v>
      </c>
      <c r="K64">
        <f>INDEX([1]Sheet1!$H:$H,MATCH(D64,[1]Sheet1!$C:$C,0))</f>
        <v>0</v>
      </c>
      <c r="L64">
        <f>INDEX([1]Sheet1!$I:$I,MATCH(D64,[1]Sheet1!$C:$C,0))</f>
        <v>0</v>
      </c>
      <c r="M64" t="e">
        <f>SUMIFS([2]Sheet1!$K:$K,[2]Sheet1!$B:$B,C64,[2]Sheet1!$J:$J,"Продажа")</f>
        <v>#VALUE!</v>
      </c>
      <c r="N64" t="e">
        <f>SUMIFS([2]Sheet1!$N:$N,[2]Sheet1!$B:$B,C64,[2]Sheet1!$J:$J,"Логистика",[2]Sheet1!$AC:$AC,"К клиенту при продаже")</f>
        <v>#VALUE!</v>
      </c>
    </row>
    <row r="65" spans="1:14" hidden="1" x14ac:dyDescent="0.25">
      <c r="A65" t="s">
        <v>6</v>
      </c>
      <c r="B65" t="s">
        <v>8</v>
      </c>
      <c r="C65">
        <v>506075389</v>
      </c>
      <c r="D65" t="s">
        <v>74</v>
      </c>
      <c r="E65" t="s">
        <v>191</v>
      </c>
      <c r="F65" t="s">
        <v>307</v>
      </c>
      <c r="G65">
        <f>INDEX([1]Sheet1!$D:$D,MATCH(D65,[1]Sheet1!$C:$C,0))</f>
        <v>8</v>
      </c>
      <c r="H65">
        <f>INDEX([1]Sheet1!$E:$E,MATCH(D65,[1]Sheet1!$C:$C,0))</f>
        <v>0</v>
      </c>
      <c r="I65">
        <f>INDEX([1]Sheet1!$F:$F,MATCH(D65,[1]Sheet1!$C:$C,0))</f>
        <v>0</v>
      </c>
      <c r="J65">
        <f>INDEX([1]Sheet1!$G:$G,MATCH(D65,[1]Sheet1!$C:$C,0))</f>
        <v>0</v>
      </c>
      <c r="K65">
        <f>INDEX([1]Sheet1!$H:$H,MATCH(D65,[1]Sheet1!$C:$C,0))</f>
        <v>0</v>
      </c>
      <c r="L65">
        <f>INDEX([1]Sheet1!$I:$I,MATCH(D65,[1]Sheet1!$C:$C,0))</f>
        <v>0</v>
      </c>
      <c r="M65" t="e">
        <f>SUMIFS([2]Sheet1!$K:$K,[2]Sheet1!$B:$B,C65,[2]Sheet1!$J:$J,"Продажа")</f>
        <v>#VALUE!</v>
      </c>
      <c r="N65" t="e">
        <f>SUMIFS([2]Sheet1!$N:$N,[2]Sheet1!$B:$B,C65,[2]Sheet1!$J:$J,"Логистика",[2]Sheet1!$AC:$AC,"К клиенту при продаже")</f>
        <v>#VALUE!</v>
      </c>
    </row>
    <row r="66" spans="1:14" hidden="1" x14ac:dyDescent="0.25">
      <c r="A66" t="s">
        <v>6</v>
      </c>
      <c r="B66" t="s">
        <v>8</v>
      </c>
      <c r="C66">
        <v>12645295</v>
      </c>
      <c r="D66" t="s">
        <v>75</v>
      </c>
      <c r="E66" t="s">
        <v>192</v>
      </c>
      <c r="F66" t="s">
        <v>308</v>
      </c>
      <c r="G66">
        <f>INDEX([1]Sheet1!$D:$D,MATCH(D66,[1]Sheet1!$C:$C,0))</f>
        <v>13</v>
      </c>
      <c r="H66">
        <f>INDEX([1]Sheet1!$E:$E,MATCH(D66,[1]Sheet1!$C:$C,0))</f>
        <v>0</v>
      </c>
      <c r="I66">
        <f>INDEX([1]Sheet1!$F:$F,MATCH(D66,[1]Sheet1!$C:$C,0))</f>
        <v>0</v>
      </c>
      <c r="J66">
        <f>INDEX([1]Sheet1!$G:$G,MATCH(D66,[1]Sheet1!$C:$C,0))</f>
        <v>0</v>
      </c>
      <c r="K66">
        <f>INDEX([1]Sheet1!$H:$H,MATCH(D66,[1]Sheet1!$C:$C,0))</f>
        <v>0</v>
      </c>
      <c r="L66">
        <f>INDEX([1]Sheet1!$I:$I,MATCH(D66,[1]Sheet1!$C:$C,0))</f>
        <v>0</v>
      </c>
      <c r="M66" t="e">
        <f>SUMIFS([2]Sheet1!$K:$K,[2]Sheet1!$B:$B,C66,[2]Sheet1!$J:$J,"Продажа")</f>
        <v>#VALUE!</v>
      </c>
      <c r="N66" t="e">
        <f>SUMIFS([2]Sheet1!$N:$N,[2]Sheet1!$B:$B,C66,[2]Sheet1!$J:$J,"Логистика",[2]Sheet1!$AC:$AC,"К клиенту при продаже")</f>
        <v>#VALUE!</v>
      </c>
    </row>
    <row r="67" spans="1:14" hidden="1" x14ac:dyDescent="0.25">
      <c r="A67" t="s">
        <v>6</v>
      </c>
      <c r="B67" t="s">
        <v>8</v>
      </c>
      <c r="C67">
        <v>506063601</v>
      </c>
      <c r="D67" t="s">
        <v>76</v>
      </c>
      <c r="E67" t="s">
        <v>193</v>
      </c>
      <c r="F67" t="s">
        <v>309</v>
      </c>
      <c r="G67">
        <f>INDEX([1]Sheet1!$D:$D,MATCH(D67,[1]Sheet1!$C:$C,0))</f>
        <v>11</v>
      </c>
      <c r="H67">
        <f>INDEX([1]Sheet1!$E:$E,MATCH(D67,[1]Sheet1!$C:$C,0))</f>
        <v>0</v>
      </c>
      <c r="I67">
        <f>INDEX([1]Sheet1!$F:$F,MATCH(D67,[1]Sheet1!$C:$C,0))</f>
        <v>0</v>
      </c>
      <c r="J67">
        <f>INDEX([1]Sheet1!$G:$G,MATCH(D67,[1]Sheet1!$C:$C,0))</f>
        <v>0</v>
      </c>
      <c r="K67">
        <f>INDEX([1]Sheet1!$H:$H,MATCH(D67,[1]Sheet1!$C:$C,0))</f>
        <v>0</v>
      </c>
      <c r="L67">
        <f>INDEX([1]Sheet1!$I:$I,MATCH(D67,[1]Sheet1!$C:$C,0))</f>
        <v>0</v>
      </c>
      <c r="M67" t="e">
        <f>SUMIFS([2]Sheet1!$K:$K,[2]Sheet1!$B:$B,C67,[2]Sheet1!$J:$J,"Продажа")</f>
        <v>#VALUE!</v>
      </c>
      <c r="N67" t="e">
        <f>SUMIFS([2]Sheet1!$N:$N,[2]Sheet1!$B:$B,C67,[2]Sheet1!$J:$J,"Логистика",[2]Sheet1!$AC:$AC,"К клиенту при продаже")</f>
        <v>#VALUE!</v>
      </c>
    </row>
    <row r="68" spans="1:14" hidden="1" x14ac:dyDescent="0.25">
      <c r="A68" t="s">
        <v>6</v>
      </c>
      <c r="B68" t="s">
        <v>8</v>
      </c>
      <c r="C68">
        <v>506048351</v>
      </c>
      <c r="D68" t="s">
        <v>77</v>
      </c>
      <c r="E68" t="s">
        <v>194</v>
      </c>
      <c r="F68" t="s">
        <v>310</v>
      </c>
      <c r="G68">
        <f>INDEX([1]Sheet1!$D:$D,MATCH(D68,[1]Sheet1!$C:$C,0))</f>
        <v>13</v>
      </c>
      <c r="H68">
        <f>INDEX([1]Sheet1!$E:$E,MATCH(D68,[1]Sheet1!$C:$C,0))</f>
        <v>0</v>
      </c>
      <c r="I68">
        <f>INDEX([1]Sheet1!$F:$F,MATCH(D68,[1]Sheet1!$C:$C,0))</f>
        <v>0</v>
      </c>
      <c r="J68">
        <f>INDEX([1]Sheet1!$G:$G,MATCH(D68,[1]Sheet1!$C:$C,0))</f>
        <v>0</v>
      </c>
      <c r="K68">
        <f>INDEX([1]Sheet1!$H:$H,MATCH(D68,[1]Sheet1!$C:$C,0))</f>
        <v>0</v>
      </c>
      <c r="L68">
        <f>INDEX([1]Sheet1!$I:$I,MATCH(D68,[1]Sheet1!$C:$C,0))</f>
        <v>0</v>
      </c>
      <c r="M68" t="e">
        <f>SUMIFS([2]Sheet1!$K:$K,[2]Sheet1!$B:$B,C68,[2]Sheet1!$J:$J,"Продажа")</f>
        <v>#VALUE!</v>
      </c>
      <c r="N68" t="e">
        <f>SUMIFS([2]Sheet1!$N:$N,[2]Sheet1!$B:$B,C68,[2]Sheet1!$J:$J,"Логистика",[2]Sheet1!$AC:$AC,"К клиенту при продаже")</f>
        <v>#VALUE!</v>
      </c>
    </row>
    <row r="69" spans="1:14" hidden="1" x14ac:dyDescent="0.25">
      <c r="A69" t="s">
        <v>6</v>
      </c>
      <c r="B69" t="s">
        <v>8</v>
      </c>
      <c r="C69">
        <v>12645294</v>
      </c>
      <c r="D69" t="s">
        <v>78</v>
      </c>
      <c r="E69" t="s">
        <v>195</v>
      </c>
      <c r="F69" t="s">
        <v>311</v>
      </c>
      <c r="G69">
        <f>INDEX([1]Sheet1!$D:$D,MATCH(D69,[1]Sheet1!$C:$C,0))</f>
        <v>12</v>
      </c>
      <c r="H69">
        <f>INDEX([1]Sheet1!$E:$E,MATCH(D69,[1]Sheet1!$C:$C,0))</f>
        <v>1</v>
      </c>
      <c r="I69">
        <f>INDEX([1]Sheet1!$F:$F,MATCH(D69,[1]Sheet1!$C:$C,0))</f>
        <v>0</v>
      </c>
      <c r="J69">
        <f>INDEX([1]Sheet1!$G:$G,MATCH(D69,[1]Sheet1!$C:$C,0))</f>
        <v>0</v>
      </c>
      <c r="K69">
        <f>INDEX([1]Sheet1!$H:$H,MATCH(D69,[1]Sheet1!$C:$C,0))</f>
        <v>0</v>
      </c>
      <c r="L69">
        <f>INDEX([1]Sheet1!$I:$I,MATCH(D69,[1]Sheet1!$C:$C,0))</f>
        <v>0</v>
      </c>
      <c r="M69" t="e">
        <f>SUMIFS([2]Sheet1!$K:$K,[2]Sheet1!$B:$B,C69,[2]Sheet1!$J:$J,"Продажа")</f>
        <v>#VALUE!</v>
      </c>
      <c r="N69" t="e">
        <f>SUMIFS([2]Sheet1!$N:$N,[2]Sheet1!$B:$B,C69,[2]Sheet1!$J:$J,"Логистика",[2]Sheet1!$AC:$AC,"К клиенту при продаже")</f>
        <v>#VALUE!</v>
      </c>
    </row>
    <row r="70" spans="1:14" hidden="1" x14ac:dyDescent="0.25">
      <c r="B70" t="s">
        <v>8</v>
      </c>
      <c r="C70">
        <v>114903541</v>
      </c>
      <c r="D70" t="s">
        <v>79</v>
      </c>
      <c r="E70" t="s">
        <v>196</v>
      </c>
      <c r="F70" t="s">
        <v>312</v>
      </c>
      <c r="G70">
        <f>INDEX([1]Sheet1!$D:$D,MATCH(D70,[1]Sheet1!$C:$C,0))</f>
        <v>29</v>
      </c>
      <c r="H70">
        <f>INDEX([1]Sheet1!$E:$E,MATCH(D70,[1]Sheet1!$C:$C,0))</f>
        <v>3</v>
      </c>
      <c r="I70">
        <f>INDEX([1]Sheet1!$F:$F,MATCH(D70,[1]Sheet1!$C:$C,0))</f>
        <v>1</v>
      </c>
      <c r="J70">
        <f>INDEX([1]Sheet1!$G:$G,MATCH(D70,[1]Sheet1!$C:$C,0))</f>
        <v>850</v>
      </c>
      <c r="K70">
        <f>INDEX([1]Sheet1!$H:$H,MATCH(D70,[1]Sheet1!$C:$C,0))</f>
        <v>1</v>
      </c>
      <c r="L70">
        <f>INDEX([1]Sheet1!$I:$I,MATCH(D70,[1]Sheet1!$C:$C,0))</f>
        <v>850</v>
      </c>
      <c r="M70" t="e">
        <f>SUMIFS([2]Sheet1!$K:$K,[2]Sheet1!$B:$B,C70,[2]Sheet1!$J:$J,"Продажа")</f>
        <v>#VALUE!</v>
      </c>
      <c r="N70" t="e">
        <f>SUMIFS([2]Sheet1!$N:$N,[2]Sheet1!$B:$B,C70,[2]Sheet1!$J:$J,"Логистика",[2]Sheet1!$AC:$AC,"К клиенту при продаже")</f>
        <v>#VALUE!</v>
      </c>
    </row>
    <row r="71" spans="1:14" hidden="1" x14ac:dyDescent="0.25">
      <c r="B71" t="s">
        <v>8</v>
      </c>
      <c r="C71">
        <v>101236421</v>
      </c>
      <c r="D71" t="s">
        <v>80</v>
      </c>
      <c r="E71" t="s">
        <v>197</v>
      </c>
      <c r="F71" t="s">
        <v>313</v>
      </c>
      <c r="G71">
        <f>INDEX([1]Sheet1!$D:$D,MATCH(D71,[1]Sheet1!$C:$C,0))</f>
        <v>25</v>
      </c>
      <c r="H71">
        <f>INDEX([1]Sheet1!$E:$E,MATCH(D71,[1]Sheet1!$C:$C,0))</f>
        <v>3</v>
      </c>
      <c r="I71">
        <f>INDEX([1]Sheet1!$F:$F,MATCH(D71,[1]Sheet1!$C:$C,0))</f>
        <v>1</v>
      </c>
      <c r="J71">
        <f>INDEX([1]Sheet1!$G:$G,MATCH(D71,[1]Sheet1!$C:$C,0))</f>
        <v>850</v>
      </c>
      <c r="K71">
        <f>INDEX([1]Sheet1!$H:$H,MATCH(D71,[1]Sheet1!$C:$C,0))</f>
        <v>1</v>
      </c>
      <c r="L71">
        <f>INDEX([1]Sheet1!$I:$I,MATCH(D71,[1]Sheet1!$C:$C,0))</f>
        <v>850</v>
      </c>
      <c r="M71" t="e">
        <f>SUMIFS([2]Sheet1!$K:$K,[2]Sheet1!$B:$B,C71,[2]Sheet1!$J:$J,"Продажа")</f>
        <v>#VALUE!</v>
      </c>
      <c r="N71" t="e">
        <f>SUMIFS([2]Sheet1!$N:$N,[2]Sheet1!$B:$B,C71,[2]Sheet1!$J:$J,"Логистика",[2]Sheet1!$AC:$AC,"К клиенту при продаже")</f>
        <v>#VALUE!</v>
      </c>
    </row>
    <row r="72" spans="1:14" hidden="1" x14ac:dyDescent="0.25">
      <c r="B72" t="s">
        <v>8</v>
      </c>
      <c r="C72">
        <v>100059556</v>
      </c>
      <c r="D72" t="s">
        <v>81</v>
      </c>
      <c r="E72" t="s">
        <v>198</v>
      </c>
      <c r="F72" t="s">
        <v>314</v>
      </c>
      <c r="G72">
        <f>INDEX([1]Sheet1!$D:$D,MATCH(D72,[1]Sheet1!$C:$C,0))</f>
        <v>16</v>
      </c>
      <c r="H72">
        <f>INDEX([1]Sheet1!$E:$E,MATCH(D72,[1]Sheet1!$C:$C,0))</f>
        <v>1</v>
      </c>
      <c r="I72">
        <f>INDEX([1]Sheet1!$F:$F,MATCH(D72,[1]Sheet1!$C:$C,0))</f>
        <v>0</v>
      </c>
      <c r="J72">
        <f>INDEX([1]Sheet1!$G:$G,MATCH(D72,[1]Sheet1!$C:$C,0))</f>
        <v>0</v>
      </c>
      <c r="K72">
        <f>INDEX([1]Sheet1!$H:$H,MATCH(D72,[1]Sheet1!$C:$C,0))</f>
        <v>0</v>
      </c>
      <c r="L72">
        <f>INDEX([1]Sheet1!$I:$I,MATCH(D72,[1]Sheet1!$C:$C,0))</f>
        <v>0</v>
      </c>
      <c r="M72" t="e">
        <f>SUMIFS([2]Sheet1!$K:$K,[2]Sheet1!$B:$B,C72,[2]Sheet1!$J:$J,"Продажа")</f>
        <v>#VALUE!</v>
      </c>
      <c r="N72" t="e">
        <f>SUMIFS([2]Sheet1!$N:$N,[2]Sheet1!$B:$B,C72,[2]Sheet1!$J:$J,"Логистика",[2]Sheet1!$AC:$AC,"К клиенту при продаже")</f>
        <v>#VALUE!</v>
      </c>
    </row>
    <row r="73" spans="1:14" hidden="1" x14ac:dyDescent="0.25">
      <c r="B73" t="s">
        <v>8</v>
      </c>
      <c r="C73">
        <v>114858899</v>
      </c>
      <c r="D73" t="s">
        <v>82</v>
      </c>
      <c r="E73" t="s">
        <v>199</v>
      </c>
      <c r="F73" t="s">
        <v>315</v>
      </c>
      <c r="G73">
        <f>INDEX([1]Sheet1!$D:$D,MATCH(D73,[1]Sheet1!$C:$C,0))</f>
        <v>21</v>
      </c>
      <c r="H73">
        <f>INDEX([1]Sheet1!$E:$E,MATCH(D73,[1]Sheet1!$C:$C,0))</f>
        <v>3</v>
      </c>
      <c r="I73">
        <f>INDEX([1]Sheet1!$F:$F,MATCH(D73,[1]Sheet1!$C:$C,0))</f>
        <v>1</v>
      </c>
      <c r="J73">
        <f>INDEX([1]Sheet1!$G:$G,MATCH(D73,[1]Sheet1!$C:$C,0))</f>
        <v>875</v>
      </c>
      <c r="K73">
        <f>INDEX([1]Sheet1!$H:$H,MATCH(D73,[1]Sheet1!$C:$C,0))</f>
        <v>1</v>
      </c>
      <c r="L73">
        <f>INDEX([1]Sheet1!$I:$I,MATCH(D73,[1]Sheet1!$C:$C,0))</f>
        <v>875</v>
      </c>
      <c r="M73" t="e">
        <f>SUMIFS([2]Sheet1!$K:$K,[2]Sheet1!$B:$B,C73,[2]Sheet1!$J:$J,"Продажа")</f>
        <v>#VALUE!</v>
      </c>
      <c r="N73" t="e">
        <f>SUMIFS([2]Sheet1!$N:$N,[2]Sheet1!$B:$B,C73,[2]Sheet1!$J:$J,"Логистика",[2]Sheet1!$AC:$AC,"К клиенту при продаже")</f>
        <v>#VALUE!</v>
      </c>
    </row>
    <row r="74" spans="1:14" hidden="1" x14ac:dyDescent="0.25">
      <c r="B74" t="s">
        <v>8</v>
      </c>
      <c r="C74">
        <v>114905354</v>
      </c>
      <c r="D74" t="s">
        <v>83</v>
      </c>
      <c r="E74" t="s">
        <v>200</v>
      </c>
      <c r="F74" t="s">
        <v>316</v>
      </c>
      <c r="G74">
        <f>INDEX([1]Sheet1!$D:$D,MATCH(D74,[1]Sheet1!$C:$C,0))</f>
        <v>13</v>
      </c>
      <c r="H74">
        <f>INDEX([1]Sheet1!$E:$E,MATCH(D74,[1]Sheet1!$C:$C,0))</f>
        <v>2</v>
      </c>
      <c r="I74">
        <f>INDEX([1]Sheet1!$F:$F,MATCH(D74,[1]Sheet1!$C:$C,0))</f>
        <v>0</v>
      </c>
      <c r="J74">
        <f>INDEX([1]Sheet1!$G:$G,MATCH(D74,[1]Sheet1!$C:$C,0))</f>
        <v>0</v>
      </c>
      <c r="K74">
        <f>INDEX([1]Sheet1!$H:$H,MATCH(D74,[1]Sheet1!$C:$C,0))</f>
        <v>0</v>
      </c>
      <c r="L74">
        <f>INDEX([1]Sheet1!$I:$I,MATCH(D74,[1]Sheet1!$C:$C,0))</f>
        <v>0</v>
      </c>
      <c r="M74" t="e">
        <f>SUMIFS([2]Sheet1!$K:$K,[2]Sheet1!$B:$B,C74,[2]Sheet1!$J:$J,"Продажа")</f>
        <v>#VALUE!</v>
      </c>
      <c r="N74" t="e">
        <f>SUMIFS([2]Sheet1!$N:$N,[2]Sheet1!$B:$B,C74,[2]Sheet1!$J:$J,"Логистика",[2]Sheet1!$AC:$AC,"К клиенту при продаже")</f>
        <v>#VALUE!</v>
      </c>
    </row>
    <row r="75" spans="1:14" hidden="1" x14ac:dyDescent="0.25">
      <c r="B75" t="s">
        <v>8</v>
      </c>
      <c r="C75">
        <v>100637611</v>
      </c>
      <c r="D75" t="s">
        <v>84</v>
      </c>
      <c r="E75" t="s">
        <v>201</v>
      </c>
      <c r="F75" t="s">
        <v>317</v>
      </c>
      <c r="G75">
        <f>INDEX([1]Sheet1!$D:$D,MATCH(D75,[1]Sheet1!$C:$C,0))</f>
        <v>32</v>
      </c>
      <c r="H75">
        <f>INDEX([1]Sheet1!$E:$E,MATCH(D75,[1]Sheet1!$C:$C,0))</f>
        <v>4</v>
      </c>
      <c r="I75">
        <f>INDEX([1]Sheet1!$F:$F,MATCH(D75,[1]Sheet1!$C:$C,0))</f>
        <v>4</v>
      </c>
      <c r="J75">
        <f>INDEX([1]Sheet1!$G:$G,MATCH(D75,[1]Sheet1!$C:$C,0))</f>
        <v>3400</v>
      </c>
      <c r="K75">
        <f>INDEX([1]Sheet1!$H:$H,MATCH(D75,[1]Sheet1!$C:$C,0))</f>
        <v>3</v>
      </c>
      <c r="L75">
        <f>INDEX([1]Sheet1!$I:$I,MATCH(D75,[1]Sheet1!$C:$C,0))</f>
        <v>2550</v>
      </c>
      <c r="M75" t="e">
        <f>SUMIFS([2]Sheet1!$K:$K,[2]Sheet1!$B:$B,C75,[2]Sheet1!$J:$J,"Продажа")</f>
        <v>#VALUE!</v>
      </c>
      <c r="N75" t="e">
        <f>SUMIFS([2]Sheet1!$N:$N,[2]Sheet1!$B:$B,C75,[2]Sheet1!$J:$J,"Логистика",[2]Sheet1!$AC:$AC,"К клиенту при продаже")</f>
        <v>#VALUE!</v>
      </c>
    </row>
    <row r="76" spans="1:14" hidden="1" x14ac:dyDescent="0.25">
      <c r="B76" t="s">
        <v>8</v>
      </c>
      <c r="C76">
        <v>101238524</v>
      </c>
      <c r="D76" t="s">
        <v>85</v>
      </c>
      <c r="E76" t="s">
        <v>202</v>
      </c>
      <c r="F76" t="s">
        <v>318</v>
      </c>
      <c r="G76">
        <f>INDEX([1]Sheet1!$D:$D,MATCH(D76,[1]Sheet1!$C:$C,0))</f>
        <v>31</v>
      </c>
      <c r="H76">
        <f>INDEX([1]Sheet1!$E:$E,MATCH(D76,[1]Sheet1!$C:$C,0))</f>
        <v>7</v>
      </c>
      <c r="I76">
        <f>INDEX([1]Sheet1!$F:$F,MATCH(D76,[1]Sheet1!$C:$C,0))</f>
        <v>4</v>
      </c>
      <c r="J76">
        <f>INDEX([1]Sheet1!$G:$G,MATCH(D76,[1]Sheet1!$C:$C,0))</f>
        <v>3400</v>
      </c>
      <c r="K76">
        <f>INDEX([1]Sheet1!$H:$H,MATCH(D76,[1]Sheet1!$C:$C,0))</f>
        <v>3</v>
      </c>
      <c r="L76">
        <f>INDEX([1]Sheet1!$I:$I,MATCH(D76,[1]Sheet1!$C:$C,0))</f>
        <v>2550</v>
      </c>
      <c r="M76" t="e">
        <f>SUMIFS([2]Sheet1!$K:$K,[2]Sheet1!$B:$B,C76,[2]Sheet1!$J:$J,"Продажа")</f>
        <v>#VALUE!</v>
      </c>
      <c r="N76" t="e">
        <f>SUMIFS([2]Sheet1!$N:$N,[2]Sheet1!$B:$B,C76,[2]Sheet1!$J:$J,"Логистика",[2]Sheet1!$AC:$AC,"К клиенту при продаже")</f>
        <v>#VALUE!</v>
      </c>
    </row>
    <row r="77" spans="1:14" hidden="1" x14ac:dyDescent="0.25">
      <c r="B77" t="s">
        <v>8</v>
      </c>
      <c r="C77">
        <v>114899777</v>
      </c>
      <c r="D77" t="s">
        <v>86</v>
      </c>
      <c r="E77" t="s">
        <v>203</v>
      </c>
      <c r="F77" t="s">
        <v>319</v>
      </c>
      <c r="G77">
        <f>INDEX([1]Sheet1!$D:$D,MATCH(D77,[1]Sheet1!$C:$C,0))</f>
        <v>21</v>
      </c>
      <c r="H77">
        <f>INDEX([1]Sheet1!$E:$E,MATCH(D77,[1]Sheet1!$C:$C,0))</f>
        <v>1</v>
      </c>
      <c r="I77">
        <f>INDEX([1]Sheet1!$F:$F,MATCH(D77,[1]Sheet1!$C:$C,0))</f>
        <v>0</v>
      </c>
      <c r="J77">
        <f>INDEX([1]Sheet1!$G:$G,MATCH(D77,[1]Sheet1!$C:$C,0))</f>
        <v>0</v>
      </c>
      <c r="K77">
        <f>INDEX([1]Sheet1!$H:$H,MATCH(D77,[1]Sheet1!$C:$C,0))</f>
        <v>0</v>
      </c>
      <c r="L77">
        <f>INDEX([1]Sheet1!$I:$I,MATCH(D77,[1]Sheet1!$C:$C,0))</f>
        <v>0</v>
      </c>
      <c r="M77" t="e">
        <f>SUMIFS([2]Sheet1!$K:$K,[2]Sheet1!$B:$B,C77,[2]Sheet1!$J:$J,"Продажа")</f>
        <v>#VALUE!</v>
      </c>
      <c r="N77" t="e">
        <f>SUMIFS([2]Sheet1!$N:$N,[2]Sheet1!$B:$B,C77,[2]Sheet1!$J:$J,"Логистика",[2]Sheet1!$AC:$AC,"К клиенту при продаже")</f>
        <v>#VALUE!</v>
      </c>
    </row>
    <row r="78" spans="1:14" hidden="1" x14ac:dyDescent="0.25">
      <c r="B78" t="s">
        <v>8</v>
      </c>
      <c r="C78">
        <v>23791005</v>
      </c>
      <c r="D78" t="s">
        <v>87</v>
      </c>
      <c r="E78" t="s">
        <v>204</v>
      </c>
      <c r="F78" t="s">
        <v>320</v>
      </c>
      <c r="G78">
        <f>INDEX([1]Sheet1!$D:$D,MATCH(D78,[1]Sheet1!$C:$C,0))</f>
        <v>129</v>
      </c>
      <c r="H78">
        <f>INDEX([1]Sheet1!$E:$E,MATCH(D78,[1]Sheet1!$C:$C,0))</f>
        <v>3</v>
      </c>
      <c r="I78">
        <f>INDEX([1]Sheet1!$F:$F,MATCH(D78,[1]Sheet1!$C:$C,0))</f>
        <v>0</v>
      </c>
      <c r="J78">
        <f>INDEX([1]Sheet1!$G:$G,MATCH(D78,[1]Sheet1!$C:$C,0))</f>
        <v>0</v>
      </c>
      <c r="K78">
        <f>INDEX([1]Sheet1!$H:$H,MATCH(D78,[1]Sheet1!$C:$C,0))</f>
        <v>0</v>
      </c>
      <c r="L78">
        <f>INDEX([1]Sheet1!$I:$I,MATCH(D78,[1]Sheet1!$C:$C,0))</f>
        <v>0</v>
      </c>
      <c r="M78" t="e">
        <f>SUMIFS([2]Sheet1!$K:$K,[2]Sheet1!$B:$B,C78,[2]Sheet1!$J:$J,"Продажа")</f>
        <v>#VALUE!</v>
      </c>
      <c r="N78" t="e">
        <f>SUMIFS([2]Sheet1!$N:$N,[2]Sheet1!$B:$B,C78,[2]Sheet1!$J:$J,"Логистика",[2]Sheet1!$AC:$AC,"К клиенту при продаже")</f>
        <v>#VALUE!</v>
      </c>
    </row>
    <row r="79" spans="1:14" hidden="1" x14ac:dyDescent="0.25">
      <c r="B79" t="s">
        <v>8</v>
      </c>
      <c r="C79">
        <v>23791010</v>
      </c>
      <c r="D79" t="s">
        <v>88</v>
      </c>
      <c r="E79" t="s">
        <v>205</v>
      </c>
      <c r="F79" t="s">
        <v>321</v>
      </c>
      <c r="G79">
        <f>INDEX([1]Sheet1!$D:$D,MATCH(D79,[1]Sheet1!$C:$C,0))</f>
        <v>109</v>
      </c>
      <c r="H79">
        <f>INDEX([1]Sheet1!$E:$E,MATCH(D79,[1]Sheet1!$C:$C,0))</f>
        <v>5</v>
      </c>
      <c r="I79">
        <f>INDEX([1]Sheet1!$F:$F,MATCH(D79,[1]Sheet1!$C:$C,0))</f>
        <v>2</v>
      </c>
      <c r="J79">
        <f>INDEX([1]Sheet1!$G:$G,MATCH(D79,[1]Sheet1!$C:$C,0))</f>
        <v>1700</v>
      </c>
      <c r="K79">
        <f>INDEX([1]Sheet1!$H:$H,MATCH(D79,[1]Sheet1!$C:$C,0))</f>
        <v>2</v>
      </c>
      <c r="L79">
        <f>INDEX([1]Sheet1!$I:$I,MATCH(D79,[1]Sheet1!$C:$C,0))</f>
        <v>1700</v>
      </c>
      <c r="M79" t="e">
        <f>SUMIFS([2]Sheet1!$K:$K,[2]Sheet1!$B:$B,C79,[2]Sheet1!$J:$J,"Продажа")</f>
        <v>#VALUE!</v>
      </c>
      <c r="N79" t="e">
        <f>SUMIFS([2]Sheet1!$N:$N,[2]Sheet1!$B:$B,C79,[2]Sheet1!$J:$J,"Логистика",[2]Sheet1!$AC:$AC,"К клиенту при продаже")</f>
        <v>#VALUE!</v>
      </c>
    </row>
    <row r="80" spans="1:14" hidden="1" x14ac:dyDescent="0.25">
      <c r="B80" t="s">
        <v>8</v>
      </c>
      <c r="C80">
        <v>23791007</v>
      </c>
      <c r="D80" t="s">
        <v>89</v>
      </c>
      <c r="E80" t="s">
        <v>206</v>
      </c>
      <c r="F80" t="s">
        <v>322</v>
      </c>
      <c r="G80">
        <f>INDEX([1]Sheet1!$D:$D,MATCH(D80,[1]Sheet1!$C:$C,0))</f>
        <v>115</v>
      </c>
      <c r="H80">
        <f>INDEX([1]Sheet1!$E:$E,MATCH(D80,[1]Sheet1!$C:$C,0))</f>
        <v>4</v>
      </c>
      <c r="I80">
        <f>INDEX([1]Sheet1!$F:$F,MATCH(D80,[1]Sheet1!$C:$C,0))</f>
        <v>2</v>
      </c>
      <c r="J80">
        <f>INDEX([1]Sheet1!$G:$G,MATCH(D80,[1]Sheet1!$C:$C,0))</f>
        <v>1800</v>
      </c>
      <c r="K80">
        <f>INDEX([1]Sheet1!$H:$H,MATCH(D80,[1]Sheet1!$C:$C,0))</f>
        <v>2</v>
      </c>
      <c r="L80">
        <f>INDEX([1]Sheet1!$I:$I,MATCH(D80,[1]Sheet1!$C:$C,0))</f>
        <v>1800</v>
      </c>
      <c r="M80" t="e">
        <f>SUMIFS([2]Sheet1!$K:$K,[2]Sheet1!$B:$B,C80,[2]Sheet1!$J:$J,"Продажа")</f>
        <v>#VALUE!</v>
      </c>
      <c r="N80" t="e">
        <f>SUMIFS([2]Sheet1!$N:$N,[2]Sheet1!$B:$B,C80,[2]Sheet1!$J:$J,"Логистика",[2]Sheet1!$AC:$AC,"К клиенту при продаже")</f>
        <v>#VALUE!</v>
      </c>
    </row>
    <row r="81" spans="1:14" hidden="1" x14ac:dyDescent="0.25">
      <c r="B81" t="s">
        <v>8</v>
      </c>
      <c r="C81">
        <v>23791006</v>
      </c>
      <c r="D81" t="s">
        <v>90</v>
      </c>
      <c r="E81" t="s">
        <v>207</v>
      </c>
      <c r="F81" t="s">
        <v>323</v>
      </c>
      <c r="G81">
        <f>INDEX([1]Sheet1!$D:$D,MATCH(D81,[1]Sheet1!$C:$C,0))</f>
        <v>104</v>
      </c>
      <c r="H81">
        <f>INDEX([1]Sheet1!$E:$E,MATCH(D81,[1]Sheet1!$C:$C,0))</f>
        <v>4</v>
      </c>
      <c r="I81">
        <f>INDEX([1]Sheet1!$F:$F,MATCH(D81,[1]Sheet1!$C:$C,0))</f>
        <v>2</v>
      </c>
      <c r="J81">
        <f>INDEX([1]Sheet1!$G:$G,MATCH(D81,[1]Sheet1!$C:$C,0))</f>
        <v>1749</v>
      </c>
      <c r="K81">
        <f>INDEX([1]Sheet1!$H:$H,MATCH(D81,[1]Sheet1!$C:$C,0))</f>
        <v>2</v>
      </c>
      <c r="L81">
        <f>INDEX([1]Sheet1!$I:$I,MATCH(D81,[1]Sheet1!$C:$C,0))</f>
        <v>1749</v>
      </c>
      <c r="M81" t="e">
        <f>SUMIFS([2]Sheet1!$K:$K,[2]Sheet1!$B:$B,C81,[2]Sheet1!$J:$J,"Продажа")</f>
        <v>#VALUE!</v>
      </c>
      <c r="N81" t="e">
        <f>SUMIFS([2]Sheet1!$N:$N,[2]Sheet1!$B:$B,C81,[2]Sheet1!$J:$J,"Логистика",[2]Sheet1!$AC:$AC,"К клиенту при продаже")</f>
        <v>#VALUE!</v>
      </c>
    </row>
    <row r="82" spans="1:14" hidden="1" x14ac:dyDescent="0.25">
      <c r="B82" t="s">
        <v>8</v>
      </c>
      <c r="C82">
        <v>23791012</v>
      </c>
      <c r="D82" t="s">
        <v>91</v>
      </c>
      <c r="E82" t="s">
        <v>208</v>
      </c>
      <c r="F82" t="s">
        <v>324</v>
      </c>
      <c r="G82">
        <f>INDEX([1]Sheet1!$D:$D,MATCH(D82,[1]Sheet1!$C:$C,0))</f>
        <v>247</v>
      </c>
      <c r="H82">
        <f>INDEX([1]Sheet1!$E:$E,MATCH(D82,[1]Sheet1!$C:$C,0))</f>
        <v>22</v>
      </c>
      <c r="I82">
        <f>INDEX([1]Sheet1!$F:$F,MATCH(D82,[1]Sheet1!$C:$C,0))</f>
        <v>4</v>
      </c>
      <c r="J82">
        <f>INDEX([1]Sheet1!$G:$G,MATCH(D82,[1]Sheet1!$C:$C,0))</f>
        <v>3400</v>
      </c>
      <c r="K82">
        <f>INDEX([1]Sheet1!$H:$H,MATCH(D82,[1]Sheet1!$C:$C,0))</f>
        <v>4</v>
      </c>
      <c r="L82">
        <f>INDEX([1]Sheet1!$I:$I,MATCH(D82,[1]Sheet1!$C:$C,0))</f>
        <v>3400</v>
      </c>
      <c r="M82" t="e">
        <f>SUMIFS([2]Sheet1!$K:$K,[2]Sheet1!$B:$B,C82,[2]Sheet1!$J:$J,"Продажа")</f>
        <v>#VALUE!</v>
      </c>
      <c r="N82" t="e">
        <f>SUMIFS([2]Sheet1!$N:$N,[2]Sheet1!$B:$B,C82,[2]Sheet1!$J:$J,"Логистика",[2]Sheet1!$AC:$AC,"К клиенту при продаже")</f>
        <v>#VALUE!</v>
      </c>
    </row>
    <row r="83" spans="1:14" hidden="1" x14ac:dyDescent="0.25">
      <c r="B83" t="s">
        <v>8</v>
      </c>
      <c r="C83">
        <v>23791008</v>
      </c>
      <c r="D83" t="s">
        <v>92</v>
      </c>
      <c r="E83" t="s">
        <v>209</v>
      </c>
      <c r="F83" t="s">
        <v>325</v>
      </c>
      <c r="G83">
        <f>INDEX([1]Sheet1!$D:$D,MATCH(D83,[1]Sheet1!$C:$C,0))</f>
        <v>207</v>
      </c>
      <c r="H83">
        <f>INDEX([1]Sheet1!$E:$E,MATCH(D83,[1]Sheet1!$C:$C,0))</f>
        <v>22</v>
      </c>
      <c r="I83">
        <f>INDEX([1]Sheet1!$F:$F,MATCH(D83,[1]Sheet1!$C:$C,0))</f>
        <v>1</v>
      </c>
      <c r="J83">
        <f>INDEX([1]Sheet1!$G:$G,MATCH(D83,[1]Sheet1!$C:$C,0))</f>
        <v>925</v>
      </c>
      <c r="K83">
        <f>INDEX([1]Sheet1!$H:$H,MATCH(D83,[1]Sheet1!$C:$C,0))</f>
        <v>0</v>
      </c>
      <c r="L83">
        <f>INDEX([1]Sheet1!$I:$I,MATCH(D83,[1]Sheet1!$C:$C,0))</f>
        <v>0</v>
      </c>
      <c r="M83" t="e">
        <f>SUMIFS([2]Sheet1!$K:$K,[2]Sheet1!$B:$B,C83,[2]Sheet1!$J:$J,"Продажа")</f>
        <v>#VALUE!</v>
      </c>
      <c r="N83" t="e">
        <f>SUMIFS([2]Sheet1!$N:$N,[2]Sheet1!$B:$B,C83,[2]Sheet1!$J:$J,"Логистика",[2]Sheet1!$AC:$AC,"К клиенту при продаже")</f>
        <v>#VALUE!</v>
      </c>
    </row>
    <row r="84" spans="1:14" hidden="1" x14ac:dyDescent="0.25">
      <c r="B84" t="s">
        <v>8</v>
      </c>
      <c r="C84">
        <v>23791015</v>
      </c>
      <c r="D84" t="s">
        <v>93</v>
      </c>
      <c r="E84" t="s">
        <v>210</v>
      </c>
      <c r="F84" t="s">
        <v>326</v>
      </c>
      <c r="G84">
        <f>INDEX([1]Sheet1!$D:$D,MATCH(D84,[1]Sheet1!$C:$C,0))</f>
        <v>225</v>
      </c>
      <c r="H84">
        <f>INDEX([1]Sheet1!$E:$E,MATCH(D84,[1]Sheet1!$C:$C,0))</f>
        <v>12</v>
      </c>
      <c r="I84">
        <f>INDEX([1]Sheet1!$F:$F,MATCH(D84,[1]Sheet1!$C:$C,0))</f>
        <v>5</v>
      </c>
      <c r="J84">
        <f>INDEX([1]Sheet1!$G:$G,MATCH(D84,[1]Sheet1!$C:$C,0))</f>
        <v>4625</v>
      </c>
      <c r="K84">
        <f>INDEX([1]Sheet1!$H:$H,MATCH(D84,[1]Sheet1!$C:$C,0))</f>
        <v>5</v>
      </c>
      <c r="L84">
        <f>INDEX([1]Sheet1!$I:$I,MATCH(D84,[1]Sheet1!$C:$C,0))</f>
        <v>4625</v>
      </c>
      <c r="M84" t="e">
        <f>SUMIFS([2]Sheet1!$K:$K,[2]Sheet1!$B:$B,C84,[2]Sheet1!$J:$J,"Продажа")</f>
        <v>#VALUE!</v>
      </c>
      <c r="N84" t="e">
        <f>SUMIFS([2]Sheet1!$N:$N,[2]Sheet1!$B:$B,C84,[2]Sheet1!$J:$J,"Логистика",[2]Sheet1!$AC:$AC,"К клиенту при продаже")</f>
        <v>#VALUE!</v>
      </c>
    </row>
    <row r="85" spans="1:14" hidden="1" x14ac:dyDescent="0.25">
      <c r="B85" t="s">
        <v>8</v>
      </c>
      <c r="C85">
        <v>23791016</v>
      </c>
      <c r="D85" t="s">
        <v>94</v>
      </c>
      <c r="E85" t="s">
        <v>211</v>
      </c>
      <c r="F85" t="s">
        <v>327</v>
      </c>
      <c r="G85">
        <f>INDEX([1]Sheet1!$D:$D,MATCH(D85,[1]Sheet1!$C:$C,0))</f>
        <v>169</v>
      </c>
      <c r="H85">
        <f>INDEX([1]Sheet1!$E:$E,MATCH(D85,[1]Sheet1!$C:$C,0))</f>
        <v>11</v>
      </c>
      <c r="I85">
        <f>INDEX([1]Sheet1!$F:$F,MATCH(D85,[1]Sheet1!$C:$C,0))</f>
        <v>7</v>
      </c>
      <c r="J85">
        <f>INDEX([1]Sheet1!$G:$G,MATCH(D85,[1]Sheet1!$C:$C,0))</f>
        <v>6124</v>
      </c>
      <c r="K85">
        <f>INDEX([1]Sheet1!$H:$H,MATCH(D85,[1]Sheet1!$C:$C,0))</f>
        <v>6</v>
      </c>
      <c r="L85">
        <f>INDEX([1]Sheet1!$I:$I,MATCH(D85,[1]Sheet1!$C:$C,0))</f>
        <v>5249</v>
      </c>
      <c r="M85" t="e">
        <f>SUMIFS([2]Sheet1!$K:$K,[2]Sheet1!$B:$B,C85,[2]Sheet1!$J:$J,"Продажа")</f>
        <v>#VALUE!</v>
      </c>
      <c r="N85" t="e">
        <f>SUMIFS([2]Sheet1!$N:$N,[2]Sheet1!$B:$B,C85,[2]Sheet1!$J:$J,"Логистика",[2]Sheet1!$AC:$AC,"К клиенту при продаже")</f>
        <v>#VALUE!</v>
      </c>
    </row>
    <row r="86" spans="1:14" hidden="1" x14ac:dyDescent="0.25">
      <c r="B86" t="s">
        <v>8</v>
      </c>
      <c r="C86">
        <v>23791013</v>
      </c>
      <c r="D86" t="s">
        <v>95</v>
      </c>
      <c r="E86" t="s">
        <v>212</v>
      </c>
      <c r="F86" t="s">
        <v>328</v>
      </c>
      <c r="G86">
        <f>INDEX([1]Sheet1!$D:$D,MATCH(D86,[1]Sheet1!$C:$C,0))</f>
        <v>191</v>
      </c>
      <c r="H86">
        <f>INDEX([1]Sheet1!$E:$E,MATCH(D86,[1]Sheet1!$C:$C,0))</f>
        <v>10</v>
      </c>
      <c r="I86">
        <f>INDEX([1]Sheet1!$F:$F,MATCH(D86,[1]Sheet1!$C:$C,0))</f>
        <v>4</v>
      </c>
      <c r="J86">
        <f>INDEX([1]Sheet1!$G:$G,MATCH(D86,[1]Sheet1!$C:$C,0))</f>
        <v>3500</v>
      </c>
      <c r="K86">
        <f>INDEX([1]Sheet1!$H:$H,MATCH(D86,[1]Sheet1!$C:$C,0))</f>
        <v>4</v>
      </c>
      <c r="L86">
        <f>INDEX([1]Sheet1!$I:$I,MATCH(D86,[1]Sheet1!$C:$C,0))</f>
        <v>3500</v>
      </c>
      <c r="M86" t="e">
        <f>SUMIFS([2]Sheet1!$K:$K,[2]Sheet1!$B:$B,C86,[2]Sheet1!$J:$J,"Продажа")</f>
        <v>#VALUE!</v>
      </c>
      <c r="N86" t="e">
        <f>SUMIFS([2]Sheet1!$N:$N,[2]Sheet1!$B:$B,C86,[2]Sheet1!$J:$J,"Логистика",[2]Sheet1!$AC:$AC,"К клиенту при продаже")</f>
        <v>#VALUE!</v>
      </c>
    </row>
    <row r="87" spans="1:14" hidden="1" x14ac:dyDescent="0.25">
      <c r="B87" t="s">
        <v>8</v>
      </c>
      <c r="C87">
        <v>23791011</v>
      </c>
      <c r="D87" t="s">
        <v>96</v>
      </c>
      <c r="E87" t="s">
        <v>213</v>
      </c>
      <c r="F87" t="s">
        <v>329</v>
      </c>
      <c r="G87">
        <f>INDEX([1]Sheet1!$D:$D,MATCH(D87,[1]Sheet1!$C:$C,0))</f>
        <v>319</v>
      </c>
      <c r="H87">
        <f>INDEX([1]Sheet1!$E:$E,MATCH(D87,[1]Sheet1!$C:$C,0))</f>
        <v>31</v>
      </c>
      <c r="I87">
        <f>INDEX([1]Sheet1!$F:$F,MATCH(D87,[1]Sheet1!$C:$C,0))</f>
        <v>7</v>
      </c>
      <c r="J87">
        <f>INDEX([1]Sheet1!$G:$G,MATCH(D87,[1]Sheet1!$C:$C,0))</f>
        <v>7525</v>
      </c>
      <c r="K87">
        <f>INDEX([1]Sheet1!$H:$H,MATCH(D87,[1]Sheet1!$C:$C,0))</f>
        <v>7</v>
      </c>
      <c r="L87">
        <f>INDEX([1]Sheet1!$I:$I,MATCH(D87,[1]Sheet1!$C:$C,0))</f>
        <v>7525</v>
      </c>
      <c r="M87" t="e">
        <f>SUMIFS([2]Sheet1!$K:$K,[2]Sheet1!$B:$B,C87,[2]Sheet1!$J:$J,"Продажа")</f>
        <v>#VALUE!</v>
      </c>
      <c r="N87" t="e">
        <f>SUMIFS([2]Sheet1!$N:$N,[2]Sheet1!$B:$B,C87,[2]Sheet1!$J:$J,"Логистика",[2]Sheet1!$AC:$AC,"К клиенту при продаже")</f>
        <v>#VALUE!</v>
      </c>
    </row>
    <row r="88" spans="1:14" hidden="1" x14ac:dyDescent="0.25">
      <c r="B88" t="s">
        <v>8</v>
      </c>
      <c r="C88">
        <v>23791014</v>
      </c>
      <c r="D88" t="s">
        <v>97</v>
      </c>
      <c r="E88" t="s">
        <v>214</v>
      </c>
      <c r="F88" t="s">
        <v>330</v>
      </c>
      <c r="G88">
        <f>INDEX([1]Sheet1!$D:$D,MATCH(D88,[1]Sheet1!$C:$C,0))</f>
        <v>309</v>
      </c>
      <c r="H88">
        <f>INDEX([1]Sheet1!$E:$E,MATCH(D88,[1]Sheet1!$C:$C,0))</f>
        <v>39</v>
      </c>
      <c r="I88">
        <f>INDEX([1]Sheet1!$F:$F,MATCH(D88,[1]Sheet1!$C:$C,0))</f>
        <v>11</v>
      </c>
      <c r="J88">
        <f>INDEX([1]Sheet1!$G:$G,MATCH(D88,[1]Sheet1!$C:$C,0))</f>
        <v>11825</v>
      </c>
      <c r="K88">
        <f>INDEX([1]Sheet1!$H:$H,MATCH(D88,[1]Sheet1!$C:$C,0))</f>
        <v>9</v>
      </c>
      <c r="L88">
        <f>INDEX([1]Sheet1!$I:$I,MATCH(D88,[1]Sheet1!$C:$C,0))</f>
        <v>9675</v>
      </c>
      <c r="M88" t="e">
        <f>SUMIFS([2]Sheet1!$K:$K,[2]Sheet1!$B:$B,C88,[2]Sheet1!$J:$J,"Продажа")</f>
        <v>#VALUE!</v>
      </c>
      <c r="N88" t="e">
        <f>SUMIFS([2]Sheet1!$N:$N,[2]Sheet1!$B:$B,C88,[2]Sheet1!$J:$J,"Логистика",[2]Sheet1!$AC:$AC,"К клиенту при продаже")</f>
        <v>#VALUE!</v>
      </c>
    </row>
    <row r="89" spans="1:14" hidden="1" x14ac:dyDescent="0.25">
      <c r="B89" t="s">
        <v>8</v>
      </c>
      <c r="C89">
        <v>23791009</v>
      </c>
      <c r="D89" t="s">
        <v>98</v>
      </c>
      <c r="E89" t="s">
        <v>215</v>
      </c>
      <c r="F89" t="s">
        <v>331</v>
      </c>
      <c r="G89">
        <f>INDEX([1]Sheet1!$D:$D,MATCH(D89,[1]Sheet1!$C:$C,0))</f>
        <v>105</v>
      </c>
      <c r="H89">
        <f>INDEX([1]Sheet1!$E:$E,MATCH(D89,[1]Sheet1!$C:$C,0))</f>
        <v>5</v>
      </c>
      <c r="I89">
        <f>INDEX([1]Sheet1!$F:$F,MATCH(D89,[1]Sheet1!$C:$C,0))</f>
        <v>0</v>
      </c>
      <c r="J89">
        <f>INDEX([1]Sheet1!$G:$G,MATCH(D89,[1]Sheet1!$C:$C,0))</f>
        <v>0</v>
      </c>
      <c r="K89">
        <f>INDEX([1]Sheet1!$H:$H,MATCH(D89,[1]Sheet1!$C:$C,0))</f>
        <v>0</v>
      </c>
      <c r="L89">
        <f>INDEX([1]Sheet1!$I:$I,MATCH(D89,[1]Sheet1!$C:$C,0))</f>
        <v>0</v>
      </c>
      <c r="M89" t="e">
        <f>SUMIFS([2]Sheet1!$K:$K,[2]Sheet1!$B:$B,C89,[2]Sheet1!$J:$J,"Продажа")</f>
        <v>#VALUE!</v>
      </c>
      <c r="N89" t="e">
        <f>SUMIFS([2]Sheet1!$N:$N,[2]Sheet1!$B:$B,C89,[2]Sheet1!$J:$J,"Логистика",[2]Sheet1!$AC:$AC,"К клиенту при продаже")</f>
        <v>#VALUE!</v>
      </c>
    </row>
    <row r="90" spans="1:14" hidden="1" x14ac:dyDescent="0.25">
      <c r="A90" t="s">
        <v>6</v>
      </c>
      <c r="B90" t="s">
        <v>8</v>
      </c>
      <c r="C90">
        <v>21013826</v>
      </c>
      <c r="D90" t="s">
        <v>99</v>
      </c>
      <c r="E90" t="s">
        <v>216</v>
      </c>
      <c r="F90" t="s">
        <v>332</v>
      </c>
      <c r="G90">
        <f>INDEX([1]Sheet1!$D:$D,MATCH(D90,[1]Sheet1!$C:$C,0))</f>
        <v>153</v>
      </c>
      <c r="H90">
        <f>INDEX([1]Sheet1!$E:$E,MATCH(D90,[1]Sheet1!$C:$C,0))</f>
        <v>3</v>
      </c>
      <c r="I90">
        <f>INDEX([1]Sheet1!$F:$F,MATCH(D90,[1]Sheet1!$C:$C,0))</f>
        <v>1</v>
      </c>
      <c r="J90">
        <f>INDEX([1]Sheet1!$G:$G,MATCH(D90,[1]Sheet1!$C:$C,0))</f>
        <v>1320</v>
      </c>
      <c r="K90">
        <f>INDEX([1]Sheet1!$H:$H,MATCH(D90,[1]Sheet1!$C:$C,0))</f>
        <v>0</v>
      </c>
      <c r="L90">
        <f>INDEX([1]Sheet1!$I:$I,MATCH(D90,[1]Sheet1!$C:$C,0))</f>
        <v>0</v>
      </c>
      <c r="M90" t="e">
        <f>SUMIFS([2]Sheet1!$K:$K,[2]Sheet1!$B:$B,C90,[2]Sheet1!$J:$J,"Продажа")</f>
        <v>#VALUE!</v>
      </c>
      <c r="N90" t="e">
        <f>SUMIFS([2]Sheet1!$N:$N,[2]Sheet1!$B:$B,C90,[2]Sheet1!$J:$J,"Логистика",[2]Sheet1!$AC:$AC,"К клиенту при продаже")</f>
        <v>#VALUE!</v>
      </c>
    </row>
    <row r="91" spans="1:14" hidden="1" x14ac:dyDescent="0.25">
      <c r="A91" t="s">
        <v>6</v>
      </c>
      <c r="B91" t="s">
        <v>8</v>
      </c>
      <c r="C91">
        <v>21013823</v>
      </c>
      <c r="D91" t="s">
        <v>100</v>
      </c>
      <c r="E91" t="s">
        <v>217</v>
      </c>
      <c r="F91" t="s">
        <v>333</v>
      </c>
      <c r="G91">
        <f>INDEX([1]Sheet1!$D:$D,MATCH(D91,[1]Sheet1!$C:$C,0))</f>
        <v>126</v>
      </c>
      <c r="H91">
        <f>INDEX([1]Sheet1!$E:$E,MATCH(D91,[1]Sheet1!$C:$C,0))</f>
        <v>13</v>
      </c>
      <c r="I91">
        <f>INDEX([1]Sheet1!$F:$F,MATCH(D91,[1]Sheet1!$C:$C,0))</f>
        <v>1</v>
      </c>
      <c r="J91">
        <f>INDEX([1]Sheet1!$G:$G,MATCH(D91,[1]Sheet1!$C:$C,0))</f>
        <v>1291</v>
      </c>
      <c r="K91">
        <f>INDEX([1]Sheet1!$H:$H,MATCH(D91,[1]Sheet1!$C:$C,0))</f>
        <v>1</v>
      </c>
      <c r="L91">
        <f>INDEX([1]Sheet1!$I:$I,MATCH(D91,[1]Sheet1!$C:$C,0))</f>
        <v>1291</v>
      </c>
      <c r="M91" t="e">
        <f>SUMIFS([2]Sheet1!$K:$K,[2]Sheet1!$B:$B,C91,[2]Sheet1!$J:$J,"Продажа")</f>
        <v>#VALUE!</v>
      </c>
      <c r="N91" t="e">
        <f>SUMIFS([2]Sheet1!$N:$N,[2]Sheet1!$B:$B,C91,[2]Sheet1!$J:$J,"Логистика",[2]Sheet1!$AC:$AC,"К клиенту при продаже")</f>
        <v>#VALUE!</v>
      </c>
    </row>
    <row r="92" spans="1:14" hidden="1" x14ac:dyDescent="0.25">
      <c r="A92" t="s">
        <v>6</v>
      </c>
      <c r="B92" t="s">
        <v>8</v>
      </c>
      <c r="C92">
        <v>21013827</v>
      </c>
      <c r="D92" t="s">
        <v>101</v>
      </c>
      <c r="E92" t="s">
        <v>218</v>
      </c>
      <c r="F92" t="s">
        <v>334</v>
      </c>
      <c r="G92">
        <f>INDEX([1]Sheet1!$D:$D,MATCH(D92,[1]Sheet1!$C:$C,0))</f>
        <v>144</v>
      </c>
      <c r="H92">
        <f>INDEX([1]Sheet1!$E:$E,MATCH(D92,[1]Sheet1!$C:$C,0))</f>
        <v>8</v>
      </c>
      <c r="I92">
        <f>INDEX([1]Sheet1!$F:$F,MATCH(D92,[1]Sheet1!$C:$C,0))</f>
        <v>3</v>
      </c>
      <c r="J92">
        <f>INDEX([1]Sheet1!$G:$G,MATCH(D92,[1]Sheet1!$C:$C,0))</f>
        <v>3873</v>
      </c>
      <c r="K92">
        <f>INDEX([1]Sheet1!$H:$H,MATCH(D92,[1]Sheet1!$C:$C,0))</f>
        <v>2</v>
      </c>
      <c r="L92">
        <f>INDEX([1]Sheet1!$I:$I,MATCH(D92,[1]Sheet1!$C:$C,0))</f>
        <v>2582</v>
      </c>
      <c r="M92" t="e">
        <f>SUMIFS([2]Sheet1!$K:$K,[2]Sheet1!$B:$B,C92,[2]Sheet1!$J:$J,"Продажа")</f>
        <v>#VALUE!</v>
      </c>
      <c r="N92" t="e">
        <f>SUMIFS([2]Sheet1!$N:$N,[2]Sheet1!$B:$B,C92,[2]Sheet1!$J:$J,"Логистика",[2]Sheet1!$AC:$AC,"К клиенту при продаже")</f>
        <v>#VALUE!</v>
      </c>
    </row>
    <row r="93" spans="1:14" hidden="1" x14ac:dyDescent="0.25">
      <c r="A93" t="s">
        <v>6</v>
      </c>
      <c r="B93" t="s">
        <v>8</v>
      </c>
      <c r="C93">
        <v>21013824</v>
      </c>
      <c r="D93" t="s">
        <v>102</v>
      </c>
      <c r="E93" t="s">
        <v>219</v>
      </c>
      <c r="F93" t="s">
        <v>335</v>
      </c>
      <c r="G93">
        <f>INDEX([1]Sheet1!$D:$D,MATCH(D93,[1]Sheet1!$C:$C,0))</f>
        <v>121</v>
      </c>
      <c r="H93">
        <f>INDEX([1]Sheet1!$E:$E,MATCH(D93,[1]Sheet1!$C:$C,0))</f>
        <v>6</v>
      </c>
      <c r="I93">
        <f>INDEX([1]Sheet1!$F:$F,MATCH(D93,[1]Sheet1!$C:$C,0))</f>
        <v>1</v>
      </c>
      <c r="J93">
        <f>INDEX([1]Sheet1!$G:$G,MATCH(D93,[1]Sheet1!$C:$C,0))</f>
        <v>1290</v>
      </c>
      <c r="K93">
        <f>INDEX([1]Sheet1!$H:$H,MATCH(D93,[1]Sheet1!$C:$C,0))</f>
        <v>0</v>
      </c>
      <c r="L93">
        <f>INDEX([1]Sheet1!$I:$I,MATCH(D93,[1]Sheet1!$C:$C,0))</f>
        <v>0</v>
      </c>
      <c r="M93" t="e">
        <f>SUMIFS([2]Sheet1!$K:$K,[2]Sheet1!$B:$B,C93,[2]Sheet1!$J:$J,"Продажа")</f>
        <v>#VALUE!</v>
      </c>
      <c r="N93" t="e">
        <f>SUMIFS([2]Sheet1!$N:$N,[2]Sheet1!$B:$B,C93,[2]Sheet1!$J:$J,"Логистика",[2]Sheet1!$AC:$AC,"К клиенту при продаже")</f>
        <v>#VALUE!</v>
      </c>
    </row>
    <row r="94" spans="1:14" hidden="1" x14ac:dyDescent="0.25">
      <c r="A94" t="s">
        <v>6</v>
      </c>
      <c r="B94" t="s">
        <v>8</v>
      </c>
      <c r="C94">
        <v>21013828</v>
      </c>
      <c r="D94" t="s">
        <v>103</v>
      </c>
      <c r="E94" t="s">
        <v>220</v>
      </c>
      <c r="F94" t="s">
        <v>336</v>
      </c>
      <c r="G94">
        <f>INDEX([1]Sheet1!$D:$D,MATCH(D94,[1]Sheet1!$C:$C,0))</f>
        <v>217</v>
      </c>
      <c r="H94">
        <f>INDEX([1]Sheet1!$E:$E,MATCH(D94,[1]Sheet1!$C:$C,0))</f>
        <v>17</v>
      </c>
      <c r="I94">
        <f>INDEX([1]Sheet1!$F:$F,MATCH(D94,[1]Sheet1!$C:$C,0))</f>
        <v>4</v>
      </c>
      <c r="J94">
        <f>INDEX([1]Sheet1!$G:$G,MATCH(D94,[1]Sheet1!$C:$C,0))</f>
        <v>5340</v>
      </c>
      <c r="K94">
        <f>INDEX([1]Sheet1!$H:$H,MATCH(D94,[1]Sheet1!$C:$C,0))</f>
        <v>3</v>
      </c>
      <c r="L94">
        <f>INDEX([1]Sheet1!$I:$I,MATCH(D94,[1]Sheet1!$C:$C,0))</f>
        <v>4005</v>
      </c>
      <c r="M94" t="e">
        <f>SUMIFS([2]Sheet1!$K:$K,[2]Sheet1!$B:$B,C94,[2]Sheet1!$J:$J,"Продажа")</f>
        <v>#VALUE!</v>
      </c>
      <c r="N94" t="e">
        <f>SUMIFS([2]Sheet1!$N:$N,[2]Sheet1!$B:$B,C94,[2]Sheet1!$J:$J,"Логистика",[2]Sheet1!$AC:$AC,"К клиенту при продаже")</f>
        <v>#VALUE!</v>
      </c>
    </row>
    <row r="95" spans="1:14" hidden="1" x14ac:dyDescent="0.25">
      <c r="A95" t="s">
        <v>6</v>
      </c>
      <c r="B95" t="s">
        <v>8</v>
      </c>
      <c r="C95">
        <v>21013822</v>
      </c>
      <c r="D95" t="s">
        <v>104</v>
      </c>
      <c r="E95" t="s">
        <v>221</v>
      </c>
      <c r="F95" t="s">
        <v>337</v>
      </c>
      <c r="G95">
        <f>INDEX([1]Sheet1!$D:$D,MATCH(D95,[1]Sheet1!$C:$C,0))</f>
        <v>259</v>
      </c>
      <c r="H95">
        <f>INDEX([1]Sheet1!$E:$E,MATCH(D95,[1]Sheet1!$C:$C,0))</f>
        <v>19</v>
      </c>
      <c r="I95">
        <f>INDEX([1]Sheet1!$F:$F,MATCH(D95,[1]Sheet1!$C:$C,0))</f>
        <v>6</v>
      </c>
      <c r="J95">
        <f>INDEX([1]Sheet1!$G:$G,MATCH(D95,[1]Sheet1!$C:$C,0))</f>
        <v>7830</v>
      </c>
      <c r="K95">
        <f>INDEX([1]Sheet1!$H:$H,MATCH(D95,[1]Sheet1!$C:$C,0))</f>
        <v>5</v>
      </c>
      <c r="L95">
        <f>INDEX([1]Sheet1!$I:$I,MATCH(D95,[1]Sheet1!$C:$C,0))</f>
        <v>6525</v>
      </c>
      <c r="M95" t="e">
        <f>SUMIFS([2]Sheet1!$K:$K,[2]Sheet1!$B:$B,C95,[2]Sheet1!$J:$J,"Продажа")</f>
        <v>#VALUE!</v>
      </c>
      <c r="N95" t="e">
        <f>SUMIFS([2]Sheet1!$N:$N,[2]Sheet1!$B:$B,C95,[2]Sheet1!$J:$J,"Логистика",[2]Sheet1!$AC:$AC,"К клиенту при продаже")</f>
        <v>#VALUE!</v>
      </c>
    </row>
    <row r="96" spans="1:14" hidden="1" x14ac:dyDescent="0.25">
      <c r="A96" t="s">
        <v>6</v>
      </c>
      <c r="B96" t="s">
        <v>8</v>
      </c>
      <c r="C96">
        <v>21013825</v>
      </c>
      <c r="D96" t="s">
        <v>105</v>
      </c>
      <c r="E96" t="s">
        <v>222</v>
      </c>
      <c r="F96" t="s">
        <v>338</v>
      </c>
      <c r="G96">
        <f>INDEX([1]Sheet1!$D:$D,MATCH(D96,[1]Sheet1!$C:$C,0))</f>
        <v>182</v>
      </c>
      <c r="H96">
        <f>INDEX([1]Sheet1!$E:$E,MATCH(D96,[1]Sheet1!$C:$C,0))</f>
        <v>14</v>
      </c>
      <c r="I96">
        <f>INDEX([1]Sheet1!$F:$F,MATCH(D96,[1]Sheet1!$C:$C,0))</f>
        <v>3</v>
      </c>
      <c r="J96">
        <f>INDEX([1]Sheet1!$G:$G,MATCH(D96,[1]Sheet1!$C:$C,0))</f>
        <v>3873</v>
      </c>
      <c r="K96">
        <f>INDEX([1]Sheet1!$H:$H,MATCH(D96,[1]Sheet1!$C:$C,0))</f>
        <v>2</v>
      </c>
      <c r="L96">
        <f>INDEX([1]Sheet1!$I:$I,MATCH(D96,[1]Sheet1!$C:$C,0))</f>
        <v>2582</v>
      </c>
      <c r="M96" t="e">
        <f>SUMIFS([2]Sheet1!$K:$K,[2]Sheet1!$B:$B,C96,[2]Sheet1!$J:$J,"Продажа")</f>
        <v>#VALUE!</v>
      </c>
      <c r="N96" t="e">
        <f>SUMIFS([2]Sheet1!$N:$N,[2]Sheet1!$B:$B,C96,[2]Sheet1!$J:$J,"Логистика",[2]Sheet1!$AC:$AC,"К клиенту при продаже")</f>
        <v>#VALUE!</v>
      </c>
    </row>
    <row r="97" spans="1:16" x14ac:dyDescent="0.25">
      <c r="A97" t="s">
        <v>6</v>
      </c>
      <c r="B97" t="s">
        <v>8</v>
      </c>
      <c r="C97">
        <v>12190441</v>
      </c>
      <c r="D97" t="s">
        <v>106</v>
      </c>
      <c r="E97" t="s">
        <v>223</v>
      </c>
      <c r="F97" t="s">
        <v>339</v>
      </c>
      <c r="G97" t="s">
        <v>371</v>
      </c>
      <c r="H97" t="s">
        <v>371</v>
      </c>
      <c r="I97" t="s">
        <v>371</v>
      </c>
      <c r="J97" t="s">
        <v>371</v>
      </c>
      <c r="K97" t="s">
        <v>371</v>
      </c>
      <c r="L97" t="s">
        <v>371</v>
      </c>
      <c r="M97" t="s">
        <v>371</v>
      </c>
      <c r="N97" t="s">
        <v>371</v>
      </c>
      <c r="O97" t="s">
        <v>371</v>
      </c>
      <c r="P97" t="s">
        <v>371</v>
      </c>
    </row>
    <row r="98" spans="1:16" hidden="1" x14ac:dyDescent="0.25">
      <c r="A98" t="s">
        <v>6</v>
      </c>
      <c r="B98" t="s">
        <v>8</v>
      </c>
      <c r="C98">
        <v>12190439</v>
      </c>
      <c r="D98" t="s">
        <v>107</v>
      </c>
      <c r="E98" t="s">
        <v>224</v>
      </c>
      <c r="F98" t="s">
        <v>340</v>
      </c>
      <c r="G98">
        <f>INDEX([1]Sheet1!$D:$D,MATCH(D98,[1]Sheet1!$C:$C,0))</f>
        <v>215</v>
      </c>
      <c r="H98">
        <f>INDEX([1]Sheet1!$E:$E,MATCH(D98,[1]Sheet1!$C:$C,0))</f>
        <v>6</v>
      </c>
      <c r="I98">
        <f>INDEX([1]Sheet1!$F:$F,MATCH(D98,[1]Sheet1!$C:$C,0))</f>
        <v>2</v>
      </c>
      <c r="J98">
        <f>INDEX([1]Sheet1!$G:$G,MATCH(D98,[1]Sheet1!$C:$C,0))</f>
        <v>2582</v>
      </c>
      <c r="K98">
        <f>INDEX([1]Sheet1!$H:$H,MATCH(D98,[1]Sheet1!$C:$C,0))</f>
        <v>2</v>
      </c>
      <c r="L98">
        <f>INDEX([1]Sheet1!$I:$I,MATCH(D98,[1]Sheet1!$C:$C,0))</f>
        <v>2582</v>
      </c>
      <c r="M98" t="e">
        <f>SUMIFS([2]Sheet1!$K:$K,[2]Sheet1!$B:$B,C98,[2]Sheet1!$J:$J,"Продажа")</f>
        <v>#VALUE!</v>
      </c>
      <c r="N98" t="e">
        <f>SUMIFS([2]Sheet1!$N:$N,[2]Sheet1!$B:$B,C98,[2]Sheet1!$J:$J,"Логистика",[2]Sheet1!$AC:$AC,"К клиенту при продаже")</f>
        <v>#VALUE!</v>
      </c>
    </row>
    <row r="99" spans="1:16" hidden="1" x14ac:dyDescent="0.25">
      <c r="A99" t="s">
        <v>6</v>
      </c>
      <c r="B99" t="s">
        <v>8</v>
      </c>
      <c r="C99">
        <v>12190438</v>
      </c>
      <c r="D99" t="s">
        <v>108</v>
      </c>
      <c r="E99" t="s">
        <v>225</v>
      </c>
      <c r="F99" t="s">
        <v>341</v>
      </c>
      <c r="G99">
        <f>INDEX([1]Sheet1!$D:$D,MATCH(D99,[1]Sheet1!$C:$C,0))</f>
        <v>273</v>
      </c>
      <c r="H99">
        <f>INDEX([1]Sheet1!$E:$E,MATCH(D99,[1]Sheet1!$C:$C,0))</f>
        <v>19</v>
      </c>
      <c r="I99">
        <f>INDEX([1]Sheet1!$F:$F,MATCH(D99,[1]Sheet1!$C:$C,0))</f>
        <v>9</v>
      </c>
      <c r="J99">
        <f>INDEX([1]Sheet1!$G:$G,MATCH(D99,[1]Sheet1!$C:$C,0))</f>
        <v>11880</v>
      </c>
      <c r="K99">
        <f>INDEX([1]Sheet1!$H:$H,MATCH(D99,[1]Sheet1!$C:$C,0))</f>
        <v>9</v>
      </c>
      <c r="L99">
        <f>INDEX([1]Sheet1!$I:$I,MATCH(D99,[1]Sheet1!$C:$C,0))</f>
        <v>11880</v>
      </c>
      <c r="M99" t="e">
        <f>SUMIFS([2]Sheet1!$K:$K,[2]Sheet1!$B:$B,C99,[2]Sheet1!$J:$J,"Продажа")</f>
        <v>#VALUE!</v>
      </c>
      <c r="N99" t="e">
        <f>SUMIFS([2]Sheet1!$N:$N,[2]Sheet1!$B:$B,C99,[2]Sheet1!$J:$J,"Логистика",[2]Sheet1!$AC:$AC,"К клиенту при продаже")</f>
        <v>#VALUE!</v>
      </c>
    </row>
    <row r="100" spans="1:16" hidden="1" x14ac:dyDescent="0.25">
      <c r="A100" t="s">
        <v>6</v>
      </c>
      <c r="B100" t="s">
        <v>8</v>
      </c>
      <c r="C100">
        <v>12190437</v>
      </c>
      <c r="D100" t="s">
        <v>109</v>
      </c>
      <c r="E100" t="s">
        <v>226</v>
      </c>
      <c r="F100" t="s">
        <v>342</v>
      </c>
      <c r="G100">
        <f>INDEX([1]Sheet1!$D:$D,MATCH(D100,[1]Sheet1!$C:$C,0))</f>
        <v>222</v>
      </c>
      <c r="H100">
        <f>INDEX([1]Sheet1!$E:$E,MATCH(D100,[1]Sheet1!$C:$C,0))</f>
        <v>6</v>
      </c>
      <c r="I100">
        <f>INDEX([1]Sheet1!$F:$F,MATCH(D100,[1]Sheet1!$C:$C,0))</f>
        <v>1</v>
      </c>
      <c r="J100">
        <f>INDEX([1]Sheet1!$G:$G,MATCH(D100,[1]Sheet1!$C:$C,0))</f>
        <v>1291</v>
      </c>
      <c r="K100">
        <f>INDEX([1]Sheet1!$H:$H,MATCH(D100,[1]Sheet1!$C:$C,0))</f>
        <v>1</v>
      </c>
      <c r="L100">
        <f>INDEX([1]Sheet1!$I:$I,MATCH(D100,[1]Sheet1!$C:$C,0))</f>
        <v>1291</v>
      </c>
      <c r="M100" t="e">
        <f>SUMIFS([2]Sheet1!$K:$K,[2]Sheet1!$B:$B,C100,[2]Sheet1!$J:$J,"Продажа")</f>
        <v>#VALUE!</v>
      </c>
      <c r="N100" t="e">
        <f>SUMIFS([2]Sheet1!$N:$N,[2]Sheet1!$B:$B,C100,[2]Sheet1!$J:$J,"Логистика",[2]Sheet1!$AC:$AC,"К клиенту при продаже")</f>
        <v>#VALUE!</v>
      </c>
    </row>
    <row r="101" spans="1:16" hidden="1" x14ac:dyDescent="0.25">
      <c r="A101" t="s">
        <v>6</v>
      </c>
      <c r="B101" t="s">
        <v>8</v>
      </c>
      <c r="C101">
        <v>12190435</v>
      </c>
      <c r="D101" t="s">
        <v>110</v>
      </c>
      <c r="E101" t="s">
        <v>227</v>
      </c>
      <c r="F101" t="s">
        <v>343</v>
      </c>
      <c r="G101">
        <f>INDEX([1]Sheet1!$D:$D,MATCH(D101,[1]Sheet1!$C:$C,0))</f>
        <v>220</v>
      </c>
      <c r="H101">
        <f>INDEX([1]Sheet1!$E:$E,MATCH(D101,[1]Sheet1!$C:$C,0))</f>
        <v>14</v>
      </c>
      <c r="I101">
        <f>INDEX([1]Sheet1!$F:$F,MATCH(D101,[1]Sheet1!$C:$C,0))</f>
        <v>3</v>
      </c>
      <c r="J101">
        <f>INDEX([1]Sheet1!$G:$G,MATCH(D101,[1]Sheet1!$C:$C,0))</f>
        <v>3915</v>
      </c>
      <c r="K101">
        <f>INDEX([1]Sheet1!$H:$H,MATCH(D101,[1]Sheet1!$C:$C,0))</f>
        <v>1</v>
      </c>
      <c r="L101">
        <f>INDEX([1]Sheet1!$I:$I,MATCH(D101,[1]Sheet1!$C:$C,0))</f>
        <v>1305</v>
      </c>
      <c r="M101" t="e">
        <f>SUMIFS([2]Sheet1!$K:$K,[2]Sheet1!$B:$B,C101,[2]Sheet1!$J:$J,"Продажа")</f>
        <v>#VALUE!</v>
      </c>
      <c r="N101" t="e">
        <f>SUMIFS([2]Sheet1!$N:$N,[2]Sheet1!$B:$B,C101,[2]Sheet1!$J:$J,"Логистика",[2]Sheet1!$AC:$AC,"К клиенту при продаже")</f>
        <v>#VALUE!</v>
      </c>
    </row>
    <row r="102" spans="1:16" hidden="1" x14ac:dyDescent="0.25">
      <c r="A102" t="s">
        <v>6</v>
      </c>
      <c r="B102" t="s">
        <v>8</v>
      </c>
      <c r="C102">
        <v>12190434</v>
      </c>
      <c r="D102" t="s">
        <v>111</v>
      </c>
      <c r="E102" t="s">
        <v>228</v>
      </c>
      <c r="F102" t="s">
        <v>344</v>
      </c>
      <c r="G102">
        <f>INDEX([1]Sheet1!$D:$D,MATCH(D102,[1]Sheet1!$C:$C,0))</f>
        <v>210</v>
      </c>
      <c r="H102">
        <f>INDEX([1]Sheet1!$E:$E,MATCH(D102,[1]Sheet1!$C:$C,0))</f>
        <v>12</v>
      </c>
      <c r="I102">
        <f>INDEX([1]Sheet1!$F:$F,MATCH(D102,[1]Sheet1!$C:$C,0))</f>
        <v>5</v>
      </c>
      <c r="J102">
        <f>INDEX([1]Sheet1!$G:$G,MATCH(D102,[1]Sheet1!$C:$C,0))</f>
        <v>6525</v>
      </c>
      <c r="K102">
        <f>INDEX([1]Sheet1!$H:$H,MATCH(D102,[1]Sheet1!$C:$C,0))</f>
        <v>4</v>
      </c>
      <c r="L102">
        <f>INDEX([1]Sheet1!$I:$I,MATCH(D102,[1]Sheet1!$C:$C,0))</f>
        <v>5220</v>
      </c>
      <c r="M102" t="e">
        <f>SUMIFS([2]Sheet1!$K:$K,[2]Sheet1!$B:$B,C102,[2]Sheet1!$J:$J,"Продажа")</f>
        <v>#VALUE!</v>
      </c>
      <c r="N102" t="e">
        <f>SUMIFS([2]Sheet1!$N:$N,[2]Sheet1!$B:$B,C102,[2]Sheet1!$J:$J,"Логистика",[2]Sheet1!$AC:$AC,"К клиенту при продаже")</f>
        <v>#VALUE!</v>
      </c>
    </row>
    <row r="103" spans="1:16" hidden="1" x14ac:dyDescent="0.25">
      <c r="A103" t="s">
        <v>6</v>
      </c>
      <c r="B103" t="s">
        <v>9</v>
      </c>
      <c r="C103">
        <v>612997470</v>
      </c>
      <c r="D103" t="s">
        <v>112</v>
      </c>
      <c r="E103" t="s">
        <v>229</v>
      </c>
      <c r="F103" t="s">
        <v>345</v>
      </c>
      <c r="G103">
        <f>INDEX([1]Sheet1!$D:$D,MATCH(D103,[1]Sheet1!$C:$C,0))</f>
        <v>41</v>
      </c>
      <c r="H103">
        <f>INDEX([1]Sheet1!$E:$E,MATCH(D103,[1]Sheet1!$C:$C,0))</f>
        <v>2</v>
      </c>
      <c r="I103">
        <f>INDEX([1]Sheet1!$F:$F,MATCH(D103,[1]Sheet1!$C:$C,0))</f>
        <v>0</v>
      </c>
      <c r="J103">
        <f>INDEX([1]Sheet1!$G:$G,MATCH(D103,[1]Sheet1!$C:$C,0))</f>
        <v>0</v>
      </c>
      <c r="K103">
        <f>INDEX([1]Sheet1!$H:$H,MATCH(D103,[1]Sheet1!$C:$C,0))</f>
        <v>0</v>
      </c>
      <c r="L103">
        <f>INDEX([1]Sheet1!$I:$I,MATCH(D103,[1]Sheet1!$C:$C,0))</f>
        <v>0</v>
      </c>
      <c r="M103" t="e">
        <f>SUMIFS([2]Sheet1!$K:$K,[2]Sheet1!$B:$B,C103,[2]Sheet1!$J:$J,"Продажа")</f>
        <v>#VALUE!</v>
      </c>
      <c r="N103" t="e">
        <f>SUMIFS([2]Sheet1!$N:$N,[2]Sheet1!$B:$B,C103,[2]Sheet1!$J:$J,"Логистика",[2]Sheet1!$AC:$AC,"К клиенту при продаже")</f>
        <v>#VALUE!</v>
      </c>
    </row>
    <row r="104" spans="1:16" hidden="1" x14ac:dyDescent="0.25">
      <c r="A104" t="s">
        <v>6</v>
      </c>
      <c r="B104" t="s">
        <v>9</v>
      </c>
      <c r="C104">
        <v>245202461</v>
      </c>
      <c r="D104" t="s">
        <v>113</v>
      </c>
      <c r="E104" t="s">
        <v>230</v>
      </c>
      <c r="F104" t="s">
        <v>346</v>
      </c>
      <c r="G104">
        <f>INDEX([1]Sheet1!$D:$D,MATCH(D104,[1]Sheet1!$C:$C,0))</f>
        <v>87</v>
      </c>
      <c r="H104">
        <f>INDEX([1]Sheet1!$E:$E,MATCH(D104,[1]Sheet1!$C:$C,0))</f>
        <v>10</v>
      </c>
      <c r="I104">
        <f>INDEX([1]Sheet1!$F:$F,MATCH(D104,[1]Sheet1!$C:$C,0))</f>
        <v>6</v>
      </c>
      <c r="J104">
        <f>INDEX([1]Sheet1!$G:$G,MATCH(D104,[1]Sheet1!$C:$C,0))</f>
        <v>3864</v>
      </c>
      <c r="K104">
        <f>INDEX([1]Sheet1!$H:$H,MATCH(D104,[1]Sheet1!$C:$C,0))</f>
        <v>4</v>
      </c>
      <c r="L104">
        <f>INDEX([1]Sheet1!$I:$I,MATCH(D104,[1]Sheet1!$C:$C,0))</f>
        <v>2576</v>
      </c>
      <c r="M104" t="e">
        <f>SUMIFS([2]Sheet1!$K:$K,[2]Sheet1!$B:$B,C104,[2]Sheet1!$J:$J,"Продажа")</f>
        <v>#VALUE!</v>
      </c>
      <c r="N104" t="e">
        <f>SUMIFS([2]Sheet1!$N:$N,[2]Sheet1!$B:$B,C104,[2]Sheet1!$J:$J,"Логистика",[2]Sheet1!$AC:$AC,"К клиенту при продаже")</f>
        <v>#VALUE!</v>
      </c>
    </row>
    <row r="105" spans="1:16" hidden="1" x14ac:dyDescent="0.25">
      <c r="A105" t="s">
        <v>6</v>
      </c>
      <c r="B105" t="s">
        <v>9</v>
      </c>
      <c r="C105">
        <v>466545270</v>
      </c>
      <c r="D105" t="s">
        <v>114</v>
      </c>
      <c r="E105" t="s">
        <v>231</v>
      </c>
      <c r="F105" t="s">
        <v>347</v>
      </c>
      <c r="G105">
        <f>INDEX([1]Sheet1!$D:$D,MATCH(D105,[1]Sheet1!$C:$C,0))</f>
        <v>87</v>
      </c>
      <c r="H105">
        <f>INDEX([1]Sheet1!$E:$E,MATCH(D105,[1]Sheet1!$C:$C,0))</f>
        <v>11</v>
      </c>
      <c r="I105">
        <f>INDEX([1]Sheet1!$F:$F,MATCH(D105,[1]Sheet1!$C:$C,0))</f>
        <v>3</v>
      </c>
      <c r="J105">
        <f>INDEX([1]Sheet1!$G:$G,MATCH(D105,[1]Sheet1!$C:$C,0))</f>
        <v>1932</v>
      </c>
      <c r="K105">
        <f>INDEX([1]Sheet1!$H:$H,MATCH(D105,[1]Sheet1!$C:$C,0))</f>
        <v>3</v>
      </c>
      <c r="L105">
        <f>INDEX([1]Sheet1!$I:$I,MATCH(D105,[1]Sheet1!$C:$C,0))</f>
        <v>1932</v>
      </c>
      <c r="M105" t="e">
        <f>SUMIFS([2]Sheet1!$K:$K,[2]Sheet1!$B:$B,C105,[2]Sheet1!$J:$J,"Продажа")</f>
        <v>#VALUE!</v>
      </c>
      <c r="N105" t="e">
        <f>SUMIFS([2]Sheet1!$N:$N,[2]Sheet1!$B:$B,C105,[2]Sheet1!$J:$J,"Логистика",[2]Sheet1!$AC:$AC,"К клиенту при продаже")</f>
        <v>#VALUE!</v>
      </c>
    </row>
    <row r="106" spans="1:16" hidden="1" x14ac:dyDescent="0.25">
      <c r="A106" t="s">
        <v>6</v>
      </c>
      <c r="B106" t="s">
        <v>9</v>
      </c>
      <c r="C106">
        <v>245203536</v>
      </c>
      <c r="D106" t="s">
        <v>115</v>
      </c>
      <c r="E106" t="s">
        <v>230</v>
      </c>
      <c r="F106" t="s">
        <v>348</v>
      </c>
      <c r="G106">
        <f>INDEX([1]Sheet1!$D:$D,MATCH(D106,[1]Sheet1!$C:$C,0))</f>
        <v>82</v>
      </c>
      <c r="H106">
        <f>INDEX([1]Sheet1!$E:$E,MATCH(D106,[1]Sheet1!$C:$C,0))</f>
        <v>9</v>
      </c>
      <c r="I106">
        <f>INDEX([1]Sheet1!$F:$F,MATCH(D106,[1]Sheet1!$C:$C,0))</f>
        <v>2</v>
      </c>
      <c r="J106">
        <f>INDEX([1]Sheet1!$G:$G,MATCH(D106,[1]Sheet1!$C:$C,0))</f>
        <v>1242</v>
      </c>
      <c r="K106">
        <f>INDEX([1]Sheet1!$H:$H,MATCH(D106,[1]Sheet1!$C:$C,0))</f>
        <v>2</v>
      </c>
      <c r="L106">
        <f>INDEX([1]Sheet1!$I:$I,MATCH(D106,[1]Sheet1!$C:$C,0))</f>
        <v>1242</v>
      </c>
      <c r="M106" t="e">
        <f>SUMIFS([2]Sheet1!$K:$K,[2]Sheet1!$B:$B,C106,[2]Sheet1!$J:$J,"Продажа")</f>
        <v>#VALUE!</v>
      </c>
      <c r="N106" t="e">
        <f>SUMIFS([2]Sheet1!$N:$N,[2]Sheet1!$B:$B,C106,[2]Sheet1!$J:$J,"Логистика",[2]Sheet1!$AC:$AC,"К клиенту при продаже")</f>
        <v>#VALUE!</v>
      </c>
    </row>
    <row r="107" spans="1:16" hidden="1" x14ac:dyDescent="0.25">
      <c r="A107" t="s">
        <v>6</v>
      </c>
      <c r="B107" t="s">
        <v>9</v>
      </c>
      <c r="C107">
        <v>577260169</v>
      </c>
      <c r="D107" t="s">
        <v>116</v>
      </c>
      <c r="E107" t="s">
        <v>232</v>
      </c>
      <c r="F107" t="s">
        <v>349</v>
      </c>
      <c r="G107">
        <f>INDEX([1]Sheet1!$D:$D,MATCH(D107,[1]Sheet1!$C:$C,0))</f>
        <v>44</v>
      </c>
      <c r="H107">
        <f>INDEX([1]Sheet1!$E:$E,MATCH(D107,[1]Sheet1!$C:$C,0))</f>
        <v>3</v>
      </c>
      <c r="I107">
        <f>INDEX([1]Sheet1!$F:$F,MATCH(D107,[1]Sheet1!$C:$C,0))</f>
        <v>1</v>
      </c>
      <c r="J107">
        <f>INDEX([1]Sheet1!$G:$G,MATCH(D107,[1]Sheet1!$C:$C,0))</f>
        <v>621</v>
      </c>
      <c r="K107">
        <f>INDEX([1]Sheet1!$H:$H,MATCH(D107,[1]Sheet1!$C:$C,0))</f>
        <v>1</v>
      </c>
      <c r="L107">
        <f>INDEX([1]Sheet1!$I:$I,MATCH(D107,[1]Sheet1!$C:$C,0))</f>
        <v>621</v>
      </c>
      <c r="M107" t="e">
        <f>SUMIFS([2]Sheet1!$K:$K,[2]Sheet1!$B:$B,C107,[2]Sheet1!$J:$J,"Продажа")</f>
        <v>#VALUE!</v>
      </c>
      <c r="N107" t="e">
        <f>SUMIFS([2]Sheet1!$N:$N,[2]Sheet1!$B:$B,C107,[2]Sheet1!$J:$J,"Логистика",[2]Sheet1!$AC:$AC,"К клиенту при продаже")</f>
        <v>#VALUE!</v>
      </c>
    </row>
    <row r="108" spans="1:16" hidden="1" x14ac:dyDescent="0.25">
      <c r="A108" t="s">
        <v>6</v>
      </c>
      <c r="B108" t="s">
        <v>9</v>
      </c>
      <c r="C108">
        <v>577225812</v>
      </c>
      <c r="D108" t="s">
        <v>117</v>
      </c>
      <c r="E108" t="s">
        <v>233</v>
      </c>
      <c r="F108" t="s">
        <v>350</v>
      </c>
      <c r="G108">
        <f>INDEX([1]Sheet1!$D:$D,MATCH(D108,[1]Sheet1!$C:$C,0))</f>
        <v>54</v>
      </c>
      <c r="H108">
        <f>INDEX([1]Sheet1!$E:$E,MATCH(D108,[1]Sheet1!$C:$C,0))</f>
        <v>5</v>
      </c>
      <c r="I108">
        <f>INDEX([1]Sheet1!$F:$F,MATCH(D108,[1]Sheet1!$C:$C,0))</f>
        <v>0</v>
      </c>
      <c r="J108">
        <f>INDEX([1]Sheet1!$G:$G,MATCH(D108,[1]Sheet1!$C:$C,0))</f>
        <v>0</v>
      </c>
      <c r="K108">
        <f>INDEX([1]Sheet1!$H:$H,MATCH(D108,[1]Sheet1!$C:$C,0))</f>
        <v>0</v>
      </c>
      <c r="L108">
        <f>INDEX([1]Sheet1!$I:$I,MATCH(D108,[1]Sheet1!$C:$C,0))</f>
        <v>0</v>
      </c>
      <c r="M108" t="e">
        <f>SUMIFS([2]Sheet1!$K:$K,[2]Sheet1!$B:$B,C108,[2]Sheet1!$J:$J,"Продажа")</f>
        <v>#VALUE!</v>
      </c>
      <c r="N108" t="e">
        <f>SUMIFS([2]Sheet1!$N:$N,[2]Sheet1!$B:$B,C108,[2]Sheet1!$J:$J,"Логистика",[2]Sheet1!$AC:$AC,"К клиенту при продаже")</f>
        <v>#VALUE!</v>
      </c>
    </row>
    <row r="109" spans="1:16" hidden="1" x14ac:dyDescent="0.25">
      <c r="A109" t="s">
        <v>6</v>
      </c>
      <c r="B109" t="s">
        <v>9</v>
      </c>
      <c r="C109">
        <v>466534459</v>
      </c>
      <c r="D109" t="s">
        <v>118</v>
      </c>
      <c r="E109" t="s">
        <v>234</v>
      </c>
      <c r="F109" t="s">
        <v>351</v>
      </c>
      <c r="G109">
        <f>INDEX([1]Sheet1!$D:$D,MATCH(D109,[1]Sheet1!$C:$C,0))</f>
        <v>44</v>
      </c>
      <c r="H109">
        <f>INDEX([1]Sheet1!$E:$E,MATCH(D109,[1]Sheet1!$C:$C,0))</f>
        <v>2</v>
      </c>
      <c r="I109">
        <f>INDEX([1]Sheet1!$F:$F,MATCH(D109,[1]Sheet1!$C:$C,0))</f>
        <v>0</v>
      </c>
      <c r="J109">
        <f>INDEX([1]Sheet1!$G:$G,MATCH(D109,[1]Sheet1!$C:$C,0))</f>
        <v>0</v>
      </c>
      <c r="K109">
        <f>INDEX([1]Sheet1!$H:$H,MATCH(D109,[1]Sheet1!$C:$C,0))</f>
        <v>0</v>
      </c>
      <c r="L109">
        <f>INDEX([1]Sheet1!$I:$I,MATCH(D109,[1]Sheet1!$C:$C,0))</f>
        <v>0</v>
      </c>
      <c r="M109" t="e">
        <f>SUMIFS([2]Sheet1!$K:$K,[2]Sheet1!$B:$B,C109,[2]Sheet1!$J:$J,"Продажа")</f>
        <v>#VALUE!</v>
      </c>
      <c r="N109" t="e">
        <f>SUMIFS([2]Sheet1!$N:$N,[2]Sheet1!$B:$B,C109,[2]Sheet1!$J:$J,"Логистика",[2]Sheet1!$AC:$AC,"К клиенту при продаже")</f>
        <v>#VALUE!</v>
      </c>
    </row>
    <row r="110" spans="1:16" hidden="1" x14ac:dyDescent="0.25">
      <c r="A110" t="s">
        <v>6</v>
      </c>
      <c r="B110" t="s">
        <v>9</v>
      </c>
      <c r="C110">
        <v>466504507</v>
      </c>
      <c r="D110" t="s">
        <v>119</v>
      </c>
      <c r="E110" t="s">
        <v>235</v>
      </c>
      <c r="F110" t="s">
        <v>352</v>
      </c>
      <c r="G110">
        <f>INDEX([1]Sheet1!$D:$D,MATCH(D110,[1]Sheet1!$C:$C,0))</f>
        <v>45</v>
      </c>
      <c r="H110">
        <f>INDEX([1]Sheet1!$E:$E,MATCH(D110,[1]Sheet1!$C:$C,0))</f>
        <v>1</v>
      </c>
      <c r="I110">
        <f>INDEX([1]Sheet1!$F:$F,MATCH(D110,[1]Sheet1!$C:$C,0))</f>
        <v>1</v>
      </c>
      <c r="J110">
        <f>INDEX([1]Sheet1!$G:$G,MATCH(D110,[1]Sheet1!$C:$C,0))</f>
        <v>621</v>
      </c>
      <c r="K110">
        <f>INDEX([1]Sheet1!$H:$H,MATCH(D110,[1]Sheet1!$C:$C,0))</f>
        <v>1</v>
      </c>
      <c r="L110">
        <f>INDEX([1]Sheet1!$I:$I,MATCH(D110,[1]Sheet1!$C:$C,0))</f>
        <v>621</v>
      </c>
      <c r="M110" t="e">
        <f>SUMIFS([2]Sheet1!$K:$K,[2]Sheet1!$B:$B,C110,[2]Sheet1!$J:$J,"Продажа")</f>
        <v>#VALUE!</v>
      </c>
      <c r="N110" t="e">
        <f>SUMIFS([2]Sheet1!$N:$N,[2]Sheet1!$B:$B,C110,[2]Sheet1!$J:$J,"Логистика",[2]Sheet1!$AC:$AC,"К клиенту при продаже")</f>
        <v>#VALUE!</v>
      </c>
    </row>
    <row r="111" spans="1:16" hidden="1" x14ac:dyDescent="0.25">
      <c r="A111" t="s">
        <v>6</v>
      </c>
      <c r="B111" t="s">
        <v>10</v>
      </c>
      <c r="C111">
        <v>543804384</v>
      </c>
      <c r="D111" t="s">
        <v>120</v>
      </c>
      <c r="E111" t="s">
        <v>236</v>
      </c>
      <c r="F111" t="s">
        <v>353</v>
      </c>
      <c r="G111">
        <f>INDEX([1]Sheet1!$D:$D,MATCH(D111,[1]Sheet1!$C:$C,0))</f>
        <v>3</v>
      </c>
      <c r="H111">
        <f>INDEX([1]Sheet1!$E:$E,MATCH(D111,[1]Sheet1!$C:$C,0))</f>
        <v>1</v>
      </c>
      <c r="I111">
        <f>INDEX([1]Sheet1!$F:$F,MATCH(D111,[1]Sheet1!$C:$C,0))</f>
        <v>0</v>
      </c>
      <c r="J111">
        <f>INDEX([1]Sheet1!$G:$G,MATCH(D111,[1]Sheet1!$C:$C,0))</f>
        <v>0</v>
      </c>
      <c r="K111">
        <f>INDEX([1]Sheet1!$H:$H,MATCH(D111,[1]Sheet1!$C:$C,0))</f>
        <v>0</v>
      </c>
      <c r="L111">
        <f>INDEX([1]Sheet1!$I:$I,MATCH(D111,[1]Sheet1!$C:$C,0))</f>
        <v>0</v>
      </c>
      <c r="M111" t="e">
        <f>SUMIFS([2]Sheet1!$K:$K,[2]Sheet1!$B:$B,C111,[2]Sheet1!$J:$J,"Продажа")</f>
        <v>#VALUE!</v>
      </c>
      <c r="N111" t="e">
        <f>SUMIFS([2]Sheet1!$N:$N,[2]Sheet1!$B:$B,C111,[2]Sheet1!$J:$J,"Логистика",[2]Sheet1!$AC:$AC,"К клиенту при продаже")</f>
        <v>#VALUE!</v>
      </c>
    </row>
    <row r="112" spans="1:16" hidden="1" x14ac:dyDescent="0.25">
      <c r="A112" t="s">
        <v>6</v>
      </c>
      <c r="B112" t="s">
        <v>10</v>
      </c>
      <c r="C112">
        <v>545087218</v>
      </c>
      <c r="D112" t="s">
        <v>121</v>
      </c>
      <c r="E112" t="s">
        <v>237</v>
      </c>
      <c r="F112" t="s">
        <v>354</v>
      </c>
      <c r="G112">
        <f>INDEX([1]Sheet1!$D:$D,MATCH(D112,[1]Sheet1!$C:$C,0))</f>
        <v>1</v>
      </c>
      <c r="H112">
        <f>INDEX([1]Sheet1!$E:$E,MATCH(D112,[1]Sheet1!$C:$C,0))</f>
        <v>1</v>
      </c>
      <c r="I112">
        <f>INDEX([1]Sheet1!$F:$F,MATCH(D112,[1]Sheet1!$C:$C,0))</f>
        <v>0</v>
      </c>
      <c r="J112">
        <f>INDEX([1]Sheet1!$G:$G,MATCH(D112,[1]Sheet1!$C:$C,0))</f>
        <v>0</v>
      </c>
      <c r="K112">
        <f>INDEX([1]Sheet1!$H:$H,MATCH(D112,[1]Sheet1!$C:$C,0))</f>
        <v>0</v>
      </c>
      <c r="L112">
        <f>INDEX([1]Sheet1!$I:$I,MATCH(D112,[1]Sheet1!$C:$C,0))</f>
        <v>0</v>
      </c>
      <c r="M112" t="e">
        <f>SUMIFS([2]Sheet1!$K:$K,[2]Sheet1!$B:$B,C112,[2]Sheet1!$J:$J,"Продажа")</f>
        <v>#VALUE!</v>
      </c>
      <c r="N112" t="e">
        <f>SUMIFS([2]Sheet1!$N:$N,[2]Sheet1!$B:$B,C112,[2]Sheet1!$J:$J,"Логистика",[2]Sheet1!$AC:$AC,"К клиенту при продаже")</f>
        <v>#VALUE!</v>
      </c>
    </row>
    <row r="113" spans="1:14" hidden="1" x14ac:dyDescent="0.25">
      <c r="A113" t="s">
        <v>6</v>
      </c>
      <c r="B113" t="s">
        <v>10</v>
      </c>
      <c r="C113">
        <v>543769273</v>
      </c>
      <c r="D113" t="s">
        <v>122</v>
      </c>
      <c r="E113" t="s">
        <v>238</v>
      </c>
      <c r="F113" t="s">
        <v>355</v>
      </c>
      <c r="G113">
        <f>INDEX([1]Sheet1!$D:$D,MATCH(D113,[1]Sheet1!$C:$C,0))</f>
        <v>1</v>
      </c>
      <c r="H113">
        <f>INDEX([1]Sheet1!$E:$E,MATCH(D113,[1]Sheet1!$C:$C,0))</f>
        <v>0</v>
      </c>
      <c r="I113">
        <f>INDEX([1]Sheet1!$F:$F,MATCH(D113,[1]Sheet1!$C:$C,0))</f>
        <v>0</v>
      </c>
      <c r="J113">
        <f>INDEX([1]Sheet1!$G:$G,MATCH(D113,[1]Sheet1!$C:$C,0))</f>
        <v>0</v>
      </c>
      <c r="K113">
        <f>INDEX([1]Sheet1!$H:$H,MATCH(D113,[1]Sheet1!$C:$C,0))</f>
        <v>0</v>
      </c>
      <c r="L113">
        <f>INDEX([1]Sheet1!$I:$I,MATCH(D113,[1]Sheet1!$C:$C,0))</f>
        <v>0</v>
      </c>
      <c r="M113" t="e">
        <f>SUMIFS([2]Sheet1!$K:$K,[2]Sheet1!$B:$B,C113,[2]Sheet1!$J:$J,"Продажа")</f>
        <v>#VALUE!</v>
      </c>
      <c r="N113" t="e">
        <f>SUMIFS([2]Sheet1!$N:$N,[2]Sheet1!$B:$B,C113,[2]Sheet1!$J:$J,"Логистика",[2]Sheet1!$AC:$AC,"К клиенту при продаже")</f>
        <v>#VALUE!</v>
      </c>
    </row>
    <row r="114" spans="1:14" hidden="1" x14ac:dyDescent="0.25">
      <c r="A114" t="s">
        <v>6</v>
      </c>
      <c r="B114" t="s">
        <v>10</v>
      </c>
      <c r="C114">
        <v>543758732</v>
      </c>
      <c r="D114" t="s">
        <v>123</v>
      </c>
      <c r="E114" t="s">
        <v>239</v>
      </c>
      <c r="F114" t="s">
        <v>356</v>
      </c>
      <c r="G114">
        <f>INDEX([1]Sheet1!$D:$D,MATCH(D114,[1]Sheet1!$C:$C,0))</f>
        <v>4</v>
      </c>
      <c r="H114">
        <f>INDEX([1]Sheet1!$E:$E,MATCH(D114,[1]Sheet1!$C:$C,0))</f>
        <v>3</v>
      </c>
      <c r="I114">
        <f>INDEX([1]Sheet1!$F:$F,MATCH(D114,[1]Sheet1!$C:$C,0))</f>
        <v>1</v>
      </c>
      <c r="J114">
        <f>INDEX([1]Sheet1!$G:$G,MATCH(D114,[1]Sheet1!$C:$C,0))</f>
        <v>515</v>
      </c>
      <c r="K114">
        <f>INDEX([1]Sheet1!$H:$H,MATCH(D114,[1]Sheet1!$C:$C,0))</f>
        <v>1</v>
      </c>
      <c r="L114">
        <f>INDEX([1]Sheet1!$I:$I,MATCH(D114,[1]Sheet1!$C:$C,0))</f>
        <v>515</v>
      </c>
      <c r="M114" t="e">
        <f>SUMIFS([2]Sheet1!$K:$K,[2]Sheet1!$B:$B,C114,[2]Sheet1!$J:$J,"Продажа")</f>
        <v>#VALUE!</v>
      </c>
      <c r="N114" t="e">
        <f>SUMIFS([2]Sheet1!$N:$N,[2]Sheet1!$B:$B,C114,[2]Sheet1!$J:$J,"Логистика",[2]Sheet1!$AC:$AC,"К клиенту при продаже")</f>
        <v>#VALUE!</v>
      </c>
    </row>
    <row r="115" spans="1:14" hidden="1" x14ac:dyDescent="0.25">
      <c r="A115" t="s">
        <v>6</v>
      </c>
      <c r="B115" t="s">
        <v>10</v>
      </c>
      <c r="C115">
        <v>543822698</v>
      </c>
      <c r="D115" t="s">
        <v>124</v>
      </c>
      <c r="E115" t="s">
        <v>240</v>
      </c>
      <c r="F115" t="s">
        <v>357</v>
      </c>
      <c r="G115">
        <f>INDEX([1]Sheet1!$D:$D,MATCH(D115,[1]Sheet1!$C:$C,0))</f>
        <v>1</v>
      </c>
      <c r="H115">
        <f>INDEX([1]Sheet1!$E:$E,MATCH(D115,[1]Sheet1!$C:$C,0))</f>
        <v>0</v>
      </c>
      <c r="I115">
        <f>INDEX([1]Sheet1!$F:$F,MATCH(D115,[1]Sheet1!$C:$C,0))</f>
        <v>0</v>
      </c>
      <c r="J115">
        <f>INDEX([1]Sheet1!$G:$G,MATCH(D115,[1]Sheet1!$C:$C,0))</f>
        <v>0</v>
      </c>
      <c r="K115">
        <f>INDEX([1]Sheet1!$H:$H,MATCH(D115,[1]Sheet1!$C:$C,0))</f>
        <v>0</v>
      </c>
      <c r="L115">
        <f>INDEX([1]Sheet1!$I:$I,MATCH(D115,[1]Sheet1!$C:$C,0))</f>
        <v>0</v>
      </c>
      <c r="M115" t="e">
        <f>SUMIFS([2]Sheet1!$K:$K,[2]Sheet1!$B:$B,C115,[2]Sheet1!$J:$J,"Продажа")</f>
        <v>#VALUE!</v>
      </c>
      <c r="N115" t="e">
        <f>SUMIFS([2]Sheet1!$N:$N,[2]Sheet1!$B:$B,C115,[2]Sheet1!$J:$J,"Логистика",[2]Sheet1!$AC:$AC,"К клиенту при продаже")</f>
        <v>#VALUE!</v>
      </c>
    </row>
    <row r="116" spans="1:14" hidden="1" x14ac:dyDescent="0.25">
      <c r="A116" t="s">
        <v>6</v>
      </c>
      <c r="B116" t="s">
        <v>10</v>
      </c>
      <c r="C116">
        <v>543810697</v>
      </c>
      <c r="D116" t="s">
        <v>125</v>
      </c>
      <c r="E116" t="s">
        <v>241</v>
      </c>
      <c r="F116" t="s">
        <v>358</v>
      </c>
      <c r="G116">
        <f>INDEX([1]Sheet1!$D:$D,MATCH(D116,[1]Sheet1!$C:$C,0))</f>
        <v>3</v>
      </c>
      <c r="H116">
        <f>INDEX([1]Sheet1!$E:$E,MATCH(D116,[1]Sheet1!$C:$C,0))</f>
        <v>0</v>
      </c>
      <c r="I116">
        <f>INDEX([1]Sheet1!$F:$F,MATCH(D116,[1]Sheet1!$C:$C,0))</f>
        <v>0</v>
      </c>
      <c r="J116">
        <f>INDEX([1]Sheet1!$G:$G,MATCH(D116,[1]Sheet1!$C:$C,0))</f>
        <v>0</v>
      </c>
      <c r="K116">
        <f>INDEX([1]Sheet1!$H:$H,MATCH(D116,[1]Sheet1!$C:$C,0))</f>
        <v>0</v>
      </c>
      <c r="L116">
        <f>INDEX([1]Sheet1!$I:$I,MATCH(D116,[1]Sheet1!$C:$C,0))</f>
        <v>0</v>
      </c>
      <c r="M116" t="e">
        <f>SUMIFS([2]Sheet1!$K:$K,[2]Sheet1!$B:$B,C116,[2]Sheet1!$J:$J,"Продажа")</f>
        <v>#VALUE!</v>
      </c>
      <c r="N116" t="e">
        <f>SUMIFS([2]Sheet1!$N:$N,[2]Sheet1!$B:$B,C116,[2]Sheet1!$J:$J,"Логистика",[2]Sheet1!$AC:$AC,"К клиенту при продаже")</f>
        <v>#VALUE!</v>
      </c>
    </row>
    <row r="117" spans="1:14" hidden="1" x14ac:dyDescent="0.25">
      <c r="A117" t="s">
        <v>6</v>
      </c>
      <c r="B117" t="s">
        <v>10</v>
      </c>
      <c r="C117">
        <v>545066244</v>
      </c>
      <c r="D117" t="s">
        <v>126</v>
      </c>
      <c r="E117" t="s">
        <v>242</v>
      </c>
      <c r="F117" t="s">
        <v>359</v>
      </c>
      <c r="G117">
        <f>INDEX([1]Sheet1!$D:$D,MATCH(D117,[1]Sheet1!$C:$C,0))</f>
        <v>1</v>
      </c>
      <c r="H117">
        <f>INDEX([1]Sheet1!$E:$E,MATCH(D117,[1]Sheet1!$C:$C,0))</f>
        <v>1</v>
      </c>
      <c r="I117">
        <f>INDEX([1]Sheet1!$F:$F,MATCH(D117,[1]Sheet1!$C:$C,0))</f>
        <v>0</v>
      </c>
      <c r="J117">
        <f>INDEX([1]Sheet1!$G:$G,MATCH(D117,[1]Sheet1!$C:$C,0))</f>
        <v>0</v>
      </c>
      <c r="K117">
        <f>INDEX([1]Sheet1!$H:$H,MATCH(D117,[1]Sheet1!$C:$C,0))</f>
        <v>0</v>
      </c>
      <c r="L117">
        <f>INDEX([1]Sheet1!$I:$I,MATCH(D117,[1]Sheet1!$C:$C,0))</f>
        <v>0</v>
      </c>
      <c r="M117" t="e">
        <f>SUMIFS([2]Sheet1!$K:$K,[2]Sheet1!$B:$B,C117,[2]Sheet1!$J:$J,"Продажа")</f>
        <v>#VALUE!</v>
      </c>
      <c r="N117" t="e">
        <f>SUMIFS([2]Sheet1!$N:$N,[2]Sheet1!$B:$B,C117,[2]Sheet1!$J:$J,"Логистика",[2]Sheet1!$AC:$AC,"К клиенту при продаже")</f>
        <v>#VALUE!</v>
      </c>
    </row>
    <row r="118" spans="1:14" hidden="1" x14ac:dyDescent="0.25">
      <c r="A118" t="s">
        <v>6</v>
      </c>
      <c r="B118" t="s">
        <v>10</v>
      </c>
      <c r="C118">
        <v>545073777</v>
      </c>
      <c r="D118" t="s">
        <v>127</v>
      </c>
      <c r="E118" t="s">
        <v>243</v>
      </c>
      <c r="F118" t="s">
        <v>360</v>
      </c>
      <c r="G118">
        <f>INDEX([1]Sheet1!$D:$D,MATCH(D118,[1]Sheet1!$C:$C,0))</f>
        <v>2</v>
      </c>
      <c r="H118">
        <f>INDEX([1]Sheet1!$E:$E,MATCH(D118,[1]Sheet1!$C:$C,0))</f>
        <v>0</v>
      </c>
      <c r="I118">
        <f>INDEX([1]Sheet1!$F:$F,MATCH(D118,[1]Sheet1!$C:$C,0))</f>
        <v>0</v>
      </c>
      <c r="J118">
        <f>INDEX([1]Sheet1!$G:$G,MATCH(D118,[1]Sheet1!$C:$C,0))</f>
        <v>0</v>
      </c>
      <c r="K118">
        <f>INDEX([1]Sheet1!$H:$H,MATCH(D118,[1]Sheet1!$C:$C,0))</f>
        <v>0</v>
      </c>
      <c r="L118">
        <f>INDEX([1]Sheet1!$I:$I,MATCH(D118,[1]Sheet1!$C:$C,0))</f>
        <v>0</v>
      </c>
      <c r="M118" t="e">
        <f>SUMIFS([2]Sheet1!$K:$K,[2]Sheet1!$B:$B,C118,[2]Sheet1!$J:$J,"Продажа")</f>
        <v>#VALUE!</v>
      </c>
      <c r="N118" t="e">
        <f>SUMIFS([2]Sheet1!$N:$N,[2]Sheet1!$B:$B,C118,[2]Sheet1!$J:$J,"Логистика",[2]Sheet1!$AC:$AC,"К клиенту при продаже")</f>
        <v>#VALUE!</v>
      </c>
    </row>
  </sheetData>
  <autoFilter ref="A1:N118" xr:uid="{00000000-0001-0000-0000-000000000000}">
    <filterColumn colId="4">
      <filters>
        <filter val="Духи женские стойкие со шлейфом Mademoiselle 7, 50 мл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Александр Дмитриевич Дергачев</cp:lastModifiedBy>
  <dcterms:created xsi:type="dcterms:W3CDTF">2026-04-13T08:52:22Z</dcterms:created>
  <dcterms:modified xsi:type="dcterms:W3CDTF">2026-04-13T11:04:02Z</dcterms:modified>
</cp:coreProperties>
</file>